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T" sheetId="1" r:id="rId4"/>
    <sheet state="visible" name="Costos Fases" sheetId="2" r:id="rId5"/>
    <sheet state="visible" name="Detalle Valores" sheetId="3" r:id="rId6"/>
  </sheets>
  <definedNames/>
  <calcPr/>
  <extLst>
    <ext uri="GoogleSheetsCustomDataVersion2">
      <go:sheetsCustomData xmlns:go="http://customooxmlschemas.google.com/" r:id="rId7" roundtripDataChecksum="eYTpE/m/v3K2/c69KMZbWHJ/pLbtrVKm1mUsZZqE+f4="/>
    </ext>
  </extLst>
</workbook>
</file>

<file path=xl/sharedStrings.xml><?xml version="1.0" encoding="utf-8"?>
<sst xmlns="http://schemas.openxmlformats.org/spreadsheetml/2006/main" count="317" uniqueCount="163">
  <si>
    <t>Matriz Estructura de descomposición de tareas EDT</t>
  </si>
  <si>
    <t>Etapas</t>
  </si>
  <si>
    <t>DIAS</t>
  </si>
  <si>
    <t>HORAS POR ACTIVIDAD O ENTREGABLE</t>
  </si>
  <si>
    <t>DICCIONARIO EDT</t>
  </si>
  <si>
    <t>Fase de Planificación</t>
  </si>
  <si>
    <t>Jefe de Proyecto</t>
  </si>
  <si>
    <t>Analista Programador</t>
  </si>
  <si>
    <t>DBA</t>
  </si>
  <si>
    <t>QA</t>
  </si>
  <si>
    <t>Diseñador</t>
  </si>
  <si>
    <t>ROL ACTOR</t>
  </si>
  <si>
    <t>NOMBRE ACTOR</t>
  </si>
  <si>
    <t>Acta de Constitución de proyecto</t>
  </si>
  <si>
    <t>Baltazar Roa Soto</t>
  </si>
  <si>
    <t>Aprobación del Acta</t>
  </si>
  <si>
    <t>Joaquin Galarce</t>
  </si>
  <si>
    <t>Definición de requerimientos Generales</t>
  </si>
  <si>
    <t>Angel Pinto</t>
  </si>
  <si>
    <t>Organización del equipo</t>
  </si>
  <si>
    <t>Fase de Análisis y diseño</t>
  </si>
  <si>
    <t xml:space="preserve">Captura de requerimientos específicos </t>
  </si>
  <si>
    <t>Documento de casos de uso</t>
  </si>
  <si>
    <t>Documento de avances</t>
  </si>
  <si>
    <t>Prototipos</t>
  </si>
  <si>
    <t>Propuesta ERS</t>
  </si>
  <si>
    <t>Matriz EDT</t>
  </si>
  <si>
    <t>Fase de Desarrollo Inicial</t>
  </si>
  <si>
    <t>Implementación ambiente de desarrollo</t>
  </si>
  <si>
    <t xml:space="preserve">Creacion de los script de tablas base de datos </t>
  </si>
  <si>
    <t xml:space="preserve">Creacion de los script de consultas PL/SQL </t>
  </si>
  <si>
    <t>Fase de Desarrollo Web</t>
  </si>
  <si>
    <t>Módulo de Autenticación y Usuarios</t>
  </si>
  <si>
    <t>Cuenta administrador (Web)</t>
  </si>
  <si>
    <t>Autentificación de usuario (Web)</t>
  </si>
  <si>
    <t>Inicio de sesión de usuario (Web)</t>
  </si>
  <si>
    <t>Registro de usuario (Web)</t>
  </si>
  <si>
    <t>Perfil de usuario (Web)</t>
  </si>
  <si>
    <t>Administrar usuarios (Web)</t>
  </si>
  <si>
    <t>Administrar credenciales (Web)</t>
  </si>
  <si>
    <t>Módulo Gestión de Productos</t>
  </si>
  <si>
    <t>Administrar productos</t>
  </si>
  <si>
    <t>Administrar categorías</t>
  </si>
  <si>
    <t>Estados del pedido</t>
  </si>
  <si>
    <t>Carrito de compras</t>
  </si>
  <si>
    <t>Compra de productos</t>
  </si>
  <si>
    <t>Módulo de Reportes y Notificaciones</t>
  </si>
  <si>
    <t>Notificaciones</t>
  </si>
  <si>
    <t>Reglas y validaciones</t>
  </si>
  <si>
    <t>Reportes básicos</t>
  </si>
  <si>
    <t>UI/UX Web</t>
  </si>
  <si>
    <t>Diseño responsive</t>
  </si>
  <si>
    <t>Mockups finales</t>
  </si>
  <si>
    <t>Pruebas de interfaz</t>
  </si>
  <si>
    <t>Fase de Desarrollo app</t>
  </si>
  <si>
    <t>Autentificación de usuario (App)</t>
  </si>
  <si>
    <t>Inicio de sesión de usuario (App)</t>
  </si>
  <si>
    <t>Registro de usuario (App)</t>
  </si>
  <si>
    <t>Perfil de usuario (App)</t>
  </si>
  <si>
    <t>Visualizar productos</t>
  </si>
  <si>
    <t>Agendar pedido</t>
  </si>
  <si>
    <t>Estados del pedido (App)</t>
  </si>
  <si>
    <t>Compra de productos (App)</t>
  </si>
  <si>
    <t>Módulo de Notificaciones</t>
  </si>
  <si>
    <t>Recordatorios de pedidos</t>
  </si>
  <si>
    <t>Confirmación de compra</t>
  </si>
  <si>
    <t>Mensajes de la empresa</t>
  </si>
  <si>
    <t>UI/UX Móvil</t>
  </si>
  <si>
    <t>Diseño adaptado Android/iOS</t>
  </si>
  <si>
    <t>Fase de Pruebas y QA</t>
  </si>
  <si>
    <t>Implementación del ambiente de pruebas</t>
  </si>
  <si>
    <t>Plan de pruebas</t>
  </si>
  <si>
    <t>Matriz de pruebas BD</t>
  </si>
  <si>
    <t>Planilla de registro de defectos</t>
  </si>
  <si>
    <t>Pruebas Web</t>
  </si>
  <si>
    <t>Pruebas funcionales Web</t>
  </si>
  <si>
    <t>Pruebas de integración Web</t>
  </si>
  <si>
    <t>Pruebas de usabilidad Web</t>
  </si>
  <si>
    <t>Pruebas de rendimiento Web</t>
  </si>
  <si>
    <t>Registro y corrección de defectos Web</t>
  </si>
  <si>
    <t>Documentación Web</t>
  </si>
  <si>
    <t>Manual de usuario Web</t>
  </si>
  <si>
    <t>Validación manual Web con clientes</t>
  </si>
  <si>
    <t>Pruebas Móvil</t>
  </si>
  <si>
    <t>Pruebas funcionales Móvil</t>
  </si>
  <si>
    <t>Pruebas de integración Móvil</t>
  </si>
  <si>
    <t>Pruebas de usabilidad Móvil</t>
  </si>
  <si>
    <t>Pruebas de rendimiento Móvil</t>
  </si>
  <si>
    <t>Registro y corrección de defectos Móvil</t>
  </si>
  <si>
    <t>Documentación Móvil</t>
  </si>
  <si>
    <t>Manual de usuario Móvil</t>
  </si>
  <si>
    <t>Validación manual Móvil con clientes</t>
  </si>
  <si>
    <t>Fase de implementación y cierre</t>
  </si>
  <si>
    <t>Verificación de alcances (comparar lo pedido vs desarrollado)</t>
  </si>
  <si>
    <t>Plan de capacitación</t>
  </si>
  <si>
    <t>Ejecución de capacitaciones</t>
  </si>
  <si>
    <t>Informe de cierre del proyecto</t>
  </si>
  <si>
    <t>Acta de cierre</t>
  </si>
  <si>
    <t>Entrega total del sistema + script BD</t>
  </si>
  <si>
    <t>SIGLA</t>
  </si>
  <si>
    <t>ROL</t>
  </si>
  <si>
    <t>NOMBRE</t>
  </si>
  <si>
    <t>VALOR HORA HH</t>
  </si>
  <si>
    <t>HORAS</t>
  </si>
  <si>
    <t>FASE PLANIFICACION</t>
  </si>
  <si>
    <t>COSTO POR HORA</t>
  </si>
  <si>
    <t>JP</t>
  </si>
  <si>
    <t>COSTO x HORA</t>
  </si>
  <si>
    <t>Sueldo mes</t>
  </si>
  <si>
    <t>AP</t>
  </si>
  <si>
    <r>
      <rPr/>
      <t xml:space="preserve">Jefe Proyecto: </t>
    </r>
    <r>
      <rPr>
        <color rgb="FF1155CC"/>
        <u/>
      </rPr>
      <t>https://cl.computrabajo.com/salarios/project-manager?utm_source=chatgpt.com</t>
    </r>
  </si>
  <si>
    <t>Desarrollador BD</t>
  </si>
  <si>
    <r>
      <rPr/>
      <t xml:space="preserve">Analista: </t>
    </r>
    <r>
      <rPr>
        <color rgb="FF1155CC"/>
        <u/>
      </rPr>
      <t>https://cl.indeed.com/career/analista-programador/salaries</t>
    </r>
  </si>
  <si>
    <t>Calidad Y Testing</t>
  </si>
  <si>
    <t>Administrador BD</t>
  </si>
  <si>
    <r>
      <rPr/>
      <t xml:space="preserve">Adminstrador BD: </t>
    </r>
    <r>
      <rPr>
        <color rgb="FF1155CC"/>
        <u/>
      </rPr>
      <t>https://cl.indeed.com/career/administrador-de-base-de-datos/salaries?from=top_sb</t>
    </r>
  </si>
  <si>
    <t>DI</t>
  </si>
  <si>
    <r>
      <rPr/>
      <t xml:space="preserve">Analista QA: </t>
    </r>
    <r>
      <rPr>
        <color rgb="FF1155CC"/>
        <u/>
      </rPr>
      <t>https://cl.indeed.com/career/analista-qa/salaries?from=top_sb</t>
    </r>
  </si>
  <si>
    <t>TOTAL FASE PLANIFICACION</t>
  </si>
  <si>
    <r>
      <rPr/>
      <t xml:space="preserve">Diseñador Web: </t>
    </r>
    <r>
      <rPr>
        <color rgb="FF1155CC"/>
        <u/>
      </rPr>
      <t>https://cl.indeed.com/career/dise%C3%B1ador-web/salaries?from=top_sb</t>
    </r>
  </si>
  <si>
    <t xml:space="preserve">VALOR HORA HH </t>
  </si>
  <si>
    <t>FASE ANÁLISIS DISEÑO</t>
  </si>
  <si>
    <t>COSTO HH POR ROL</t>
  </si>
  <si>
    <t>TOTAL FASE ANÁLISIS DISEÑO</t>
  </si>
  <si>
    <t>TOTAL HH</t>
  </si>
  <si>
    <t>FASE DESARROLLO INICIAL</t>
  </si>
  <si>
    <t>COSTO POR FASE</t>
  </si>
  <si>
    <t>Fase de Análisis y Diseño</t>
  </si>
  <si>
    <t>Fase de Desarrollo</t>
  </si>
  <si>
    <t>Fase Desarrollo Web</t>
  </si>
  <si>
    <t>Fase Desarrollo App</t>
  </si>
  <si>
    <t>TOTAL FASE DESARROLLO</t>
  </si>
  <si>
    <t>Fase de Implementación y Cierre</t>
  </si>
  <si>
    <t>TOTAL HH FASES</t>
  </si>
  <si>
    <t>FASE DESARROLLO WEB</t>
  </si>
  <si>
    <t xml:space="preserve">Margen </t>
  </si>
  <si>
    <t>UTILIDAD</t>
  </si>
  <si>
    <t>PRECIO FINAL</t>
  </si>
  <si>
    <t>TOTAL FASE DESARROLLO WEB</t>
  </si>
  <si>
    <t>FASE DESARROLLO APP</t>
  </si>
  <si>
    <t>TOTAL FASE DESARROLLO APP</t>
  </si>
  <si>
    <t>FASE PRUEBAS Y QA</t>
  </si>
  <si>
    <t>TOTAL FASE PRUEBAS Y QA</t>
  </si>
  <si>
    <t>FASE IMPLEMENTACIÓN Y CIERRE</t>
  </si>
  <si>
    <t>TOTAL FASE IMPLEMENTACION Y CIERRE</t>
  </si>
  <si>
    <t>Rol</t>
  </si>
  <si>
    <t>Nombre</t>
  </si>
  <si>
    <t>Baltazar Roa</t>
  </si>
  <si>
    <t>Joaquín Galarce</t>
  </si>
  <si>
    <t>Ángel Pinto</t>
  </si>
  <si>
    <t>(por definir)</t>
  </si>
  <si>
    <t>Horas Por Día</t>
  </si>
  <si>
    <t>6 h/día</t>
  </si>
  <si>
    <t>8 h/día</t>
  </si>
  <si>
    <t>4 h/día</t>
  </si>
  <si>
    <t>6 h/día en semanas de pruebas / 2 h/día el resto</t>
  </si>
  <si>
    <t>5 h/día cuando esté dedicado a diseño</t>
  </si>
  <si>
    <t>Notas De Uso / Justificación</t>
  </si>
  <si>
    <t>Coordinación, seguimiento, reuniones, revisión de entregables (≈75% de una jornada estándar).</t>
  </si>
  <si>
    <t>Desarrollo, análisis técnico.</t>
  </si>
  <si>
    <t>Diseño/ajustes de BD, migraciones, respaldos (picos a 6 h/día en semanas críticas).</t>
  </si>
  <si>
    <t>Preparación de casos, pruebas, reportes de defectos.</t>
  </si>
  <si>
    <t>Si Joaquín combina dev + diseño en la misma semana, no exceder 8 h/día totales (p.ej., 6h dev + 2h diseño).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</si>
</sst>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;\-0\ "/>
    <numFmt numFmtId="165" formatCode="_ &quot;$&quot;* #,##0_ ;_ &quot;$&quot;* \-#,##0_ ;_ &quot;$&quot;* &quot;-&quot;_ ;_ @_ "/>
  </numFmts>
  <fonts count="8">
    <font>
      <sz val="11.0"/>
      <color theme="1"/>
      <name val="Calibri"/>
      <scheme val="minor"/>
    </font>
    <font>
      <sz val="14.0"/>
      <color theme="1"/>
      <name val="Calibri"/>
    </font>
    <font/>
    <font>
      <sz val="11.0"/>
      <color theme="1"/>
      <name val="Calibri"/>
    </font>
    <font>
      <sz val="11.0"/>
      <color theme="1"/>
      <name val="Arial"/>
    </font>
    <font>
      <color theme="1"/>
      <name val="Calibri"/>
    </font>
    <font>
      <u/>
      <color rgb="FF0000FF"/>
    </font>
    <font>
      <b/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ADB9CA"/>
        <bgColor rgb="FFADB9CA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1C232"/>
        <bgColor rgb="FFF1C232"/>
      </patternFill>
    </fill>
    <fill>
      <patternFill patternType="solid">
        <fgColor theme="7"/>
        <bgColor theme="7"/>
      </patternFill>
    </fill>
    <fill>
      <patternFill patternType="solid">
        <fgColor rgb="FFFFC000"/>
        <bgColor rgb="FFFFC000"/>
      </patternFill>
    </fill>
    <fill>
      <patternFill patternType="solid">
        <fgColor rgb="FFF2F2F2"/>
        <bgColor rgb="FFF2F2F2"/>
      </patternFill>
    </fill>
    <fill>
      <patternFill patternType="solid">
        <fgColor rgb="FFB6D7A8"/>
        <bgColor rgb="FFB6D7A8"/>
      </patternFill>
    </fill>
  </fills>
  <borders count="11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3" numFmtId="0" xfId="0" applyBorder="1" applyFont="1"/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3" fontId="3" numFmtId="0" xfId="0" applyBorder="1" applyFill="1" applyFont="1"/>
    <xf borderId="3" fillId="3" fontId="3" numFmtId="0" xfId="0" applyBorder="1" applyFont="1"/>
    <xf borderId="3" fillId="3" fontId="3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horizontal="center"/>
    </xf>
    <xf borderId="8" fillId="4" fontId="3" numFmtId="0" xfId="0" applyAlignment="1" applyBorder="1" applyFill="1" applyFont="1">
      <alignment vertical="bottom"/>
    </xf>
    <xf borderId="3" fillId="0" fontId="3" numFmtId="0" xfId="0" applyAlignment="1" applyBorder="1" applyFont="1">
      <alignment vertical="center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/>
    </xf>
    <xf borderId="3" fillId="0" fontId="3" numFmtId="0" xfId="0" applyAlignment="1" applyBorder="1" applyFont="1">
      <alignment horizontal="center" readingOrder="0"/>
    </xf>
    <xf borderId="3" fillId="3" fontId="3" numFmtId="0" xfId="0" applyAlignment="1" applyBorder="1" applyFont="1">
      <alignment readingOrder="0"/>
    </xf>
    <xf borderId="3" fillId="5" fontId="3" numFmtId="0" xfId="0" applyAlignment="1" applyBorder="1" applyFill="1" applyFont="1">
      <alignment vertical="bottom"/>
    </xf>
    <xf borderId="3" fillId="5" fontId="3" numFmtId="0" xfId="0" applyBorder="1" applyFont="1"/>
    <xf borderId="3" fillId="5" fontId="3" numFmtId="0" xfId="0" applyAlignment="1" applyBorder="1" applyFont="1">
      <alignment horizontal="center"/>
    </xf>
    <xf borderId="3" fillId="0" fontId="4" numFmtId="0" xfId="0" applyAlignment="1" applyBorder="1" applyFont="1">
      <alignment vertical="bottom"/>
    </xf>
    <xf borderId="3" fillId="6" fontId="3" numFmtId="0" xfId="0" applyAlignment="1" applyBorder="1" applyFill="1" applyFont="1">
      <alignment vertical="bottom"/>
    </xf>
    <xf borderId="3" fillId="6" fontId="3" numFmtId="0" xfId="0" applyBorder="1" applyFont="1"/>
    <xf borderId="3" fillId="6" fontId="3" numFmtId="0" xfId="0" applyAlignment="1" applyBorder="1" applyFont="1">
      <alignment horizontal="center"/>
    </xf>
    <xf borderId="3" fillId="7" fontId="3" numFmtId="0" xfId="0" applyAlignment="1" applyBorder="1" applyFill="1" applyFont="1">
      <alignment vertical="bottom"/>
    </xf>
    <xf borderId="3" fillId="0" fontId="4" numFmtId="0" xfId="0" applyAlignment="1" applyBorder="1" applyFont="1">
      <alignment shrinkToFit="0" vertical="top" wrapText="1"/>
    </xf>
    <xf borderId="0" fillId="0" fontId="5" numFmtId="0" xfId="0" applyFont="1"/>
    <xf borderId="0" fillId="0" fontId="5" numFmtId="0" xfId="0" applyAlignment="1" applyFont="1">
      <alignment shrinkToFit="0" vertical="top" wrapText="1"/>
    </xf>
    <xf borderId="9" fillId="3" fontId="3" numFmtId="0" xfId="0" applyAlignment="1" applyBorder="1" applyFont="1">
      <alignment horizontal="center"/>
    </xf>
    <xf borderId="10" fillId="0" fontId="2" numFmtId="0" xfId="0" applyBorder="1" applyFont="1"/>
    <xf borderId="3" fillId="0" fontId="3" numFmtId="3" xfId="0" applyBorder="1" applyFont="1" applyNumberFormat="1"/>
    <xf borderId="3" fillId="0" fontId="3" numFmtId="164" xfId="0" applyBorder="1" applyFont="1" applyNumberFormat="1"/>
    <xf borderId="3" fillId="0" fontId="3" numFmtId="165" xfId="0" applyBorder="1" applyFont="1" applyNumberFormat="1"/>
    <xf borderId="0" fillId="0" fontId="6" numFmtId="0" xfId="0" applyFont="1"/>
    <xf borderId="3" fillId="0" fontId="3" numFmtId="0" xfId="0" applyAlignment="1" applyBorder="1" applyFont="1">
      <alignment shrinkToFit="0" wrapText="1"/>
    </xf>
    <xf borderId="4" fillId="3" fontId="3" numFmtId="0" xfId="0" applyAlignment="1" applyBorder="1" applyFont="1">
      <alignment horizontal="center"/>
    </xf>
    <xf borderId="3" fillId="8" fontId="7" numFmtId="0" xfId="0" applyBorder="1" applyFill="1" applyFont="1"/>
    <xf borderId="3" fillId="8" fontId="7" numFmtId="165" xfId="0" applyBorder="1" applyFont="1" applyNumberFormat="1"/>
    <xf borderId="3" fillId="3" fontId="3" numFmtId="0" xfId="0" applyAlignment="1" applyBorder="1" applyFont="1">
      <alignment horizontal="center" readingOrder="0"/>
    </xf>
    <xf borderId="4" fillId="3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3" fillId="0" fontId="3" numFmtId="165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shrinkToFit="0" vertical="top" wrapText="1"/>
    </xf>
    <xf borderId="3" fillId="8" fontId="7" numFmtId="0" xfId="0" applyAlignment="1" applyBorder="1" applyFont="1">
      <alignment vertical="bottom"/>
    </xf>
    <xf borderId="3" fillId="8" fontId="7" numFmtId="165" xfId="0" applyAlignment="1" applyBorder="1" applyFont="1" applyNumberFormat="1">
      <alignment horizontal="right" vertical="bottom"/>
    </xf>
    <xf borderId="0" fillId="0" fontId="3" numFmtId="0" xfId="0" applyAlignment="1" applyFont="1">
      <alignment horizontal="center"/>
    </xf>
    <xf borderId="0" fillId="0" fontId="3" numFmtId="9" xfId="0" applyFont="1" applyNumberFormat="1"/>
    <xf borderId="3" fillId="3" fontId="3" numFmtId="0" xfId="0" applyAlignment="1" applyBorder="1" applyFont="1">
      <alignment horizontal="center" vertical="bottom"/>
    </xf>
    <xf borderId="3" fillId="0" fontId="3" numFmtId="9" xfId="0" applyAlignment="1" applyBorder="1" applyFont="1" applyNumberFormat="1">
      <alignment horizontal="right" vertical="bottom"/>
    </xf>
    <xf borderId="3" fillId="3" fontId="3" numFmtId="0" xfId="0" applyAlignment="1" applyBorder="1" applyFont="1">
      <alignment horizontal="center" shrinkToFit="0" vertical="top" wrapText="1"/>
    </xf>
    <xf borderId="3" fillId="0" fontId="3" numFmtId="0" xfId="0" applyAlignment="1" applyBorder="1" applyFont="1">
      <alignment horizontal="center" shrinkToFit="0" vertical="center" wrapText="1"/>
    </xf>
    <xf borderId="3" fillId="9" fontId="3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l.computrabajo.com/salarios/project-manager?utm_source=chatgpt.com" TargetMode="External"/><Relationship Id="rId2" Type="http://schemas.openxmlformats.org/officeDocument/2006/relationships/hyperlink" Target="https://cl.indeed.com/career/analista-programador/salaries" TargetMode="External"/><Relationship Id="rId3" Type="http://schemas.openxmlformats.org/officeDocument/2006/relationships/hyperlink" Target="https://cl.indeed.com/career/administrador-de-base-de-datos/salaries?from=top_sb" TargetMode="External"/><Relationship Id="rId4" Type="http://schemas.openxmlformats.org/officeDocument/2006/relationships/hyperlink" Target="https://cl.indeed.com/career/analista-qa/salaries?from=top_sb" TargetMode="External"/><Relationship Id="rId5" Type="http://schemas.openxmlformats.org/officeDocument/2006/relationships/hyperlink" Target="https://cl.indeed.com/career/dise%C3%B1ador-web/salaries?from=top_sb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9.43"/>
    <col customWidth="1" min="2" max="2" width="7.43"/>
    <col customWidth="1" min="3" max="3" width="12.0"/>
    <col customWidth="1" min="4" max="4" width="15.0"/>
    <col customWidth="1" min="5" max="5" width="9.14"/>
    <col customWidth="1" min="6" max="6" width="8.14"/>
    <col customWidth="1" min="7" max="7" width="12.0"/>
    <col customWidth="1" min="8" max="8" width="5.0"/>
    <col customWidth="1" min="9" max="9" width="23.29"/>
    <col customWidth="1" min="10" max="10" width="29.71"/>
    <col customWidth="1" min="11" max="11" width="21.29"/>
    <col customWidth="1" min="12" max="12" width="21.14"/>
    <col customWidth="1" min="13" max="13" width="21.57"/>
    <col customWidth="1" min="14" max="14" width="21.43"/>
    <col customWidth="1" min="15" max="15" width="21.0"/>
    <col customWidth="1" min="16" max="26" width="10.71"/>
  </cols>
  <sheetData>
    <row r="1" ht="14.25" customHeight="1"/>
    <row r="2" ht="14.25" customHeight="1">
      <c r="A2" s="1" t="s">
        <v>0</v>
      </c>
      <c r="B2" s="2"/>
      <c r="C2" s="2"/>
      <c r="D2" s="2"/>
    </row>
    <row r="3" ht="14.25" customHeight="1"/>
    <row r="4" ht="14.25" customHeight="1">
      <c r="A4" s="3" t="s">
        <v>1</v>
      </c>
      <c r="B4" s="4" t="s">
        <v>2</v>
      </c>
      <c r="C4" s="5" t="s">
        <v>3</v>
      </c>
      <c r="D4" s="6"/>
      <c r="E4" s="6"/>
      <c r="F4" s="6"/>
      <c r="G4" s="7"/>
      <c r="I4" s="5" t="s">
        <v>4</v>
      </c>
      <c r="J4" s="7"/>
    </row>
    <row r="5" ht="14.25" customHeight="1">
      <c r="A5" s="8" t="s">
        <v>5</v>
      </c>
      <c r="B5" s="9"/>
      <c r="C5" s="10" t="s">
        <v>6</v>
      </c>
      <c r="D5" s="10" t="s">
        <v>7</v>
      </c>
      <c r="E5" s="10" t="s">
        <v>8</v>
      </c>
      <c r="F5" s="10" t="s">
        <v>9</v>
      </c>
      <c r="G5" s="10" t="s">
        <v>10</v>
      </c>
      <c r="I5" s="11" t="s">
        <v>11</v>
      </c>
      <c r="J5" s="11" t="s">
        <v>12</v>
      </c>
    </row>
    <row r="6" ht="14.25" customHeight="1" outlineLevel="1">
      <c r="A6" s="12" t="s">
        <v>13</v>
      </c>
      <c r="B6" s="3">
        <v>4.0</v>
      </c>
      <c r="C6" s="4">
        <v>20.0</v>
      </c>
      <c r="D6" s="4">
        <v>4.0</v>
      </c>
      <c r="E6" s="4">
        <v>2.0</v>
      </c>
      <c r="F6" s="4">
        <v>2.0</v>
      </c>
      <c r="G6" s="4">
        <v>4.0</v>
      </c>
      <c r="I6" s="13" t="s">
        <v>6</v>
      </c>
      <c r="J6" s="13" t="s">
        <v>14</v>
      </c>
    </row>
    <row r="7" ht="14.25" customHeight="1" outlineLevel="1">
      <c r="A7" s="12" t="s">
        <v>15</v>
      </c>
      <c r="B7" s="3">
        <v>1.0</v>
      </c>
      <c r="C7" s="4">
        <v>6.0</v>
      </c>
      <c r="D7" s="4">
        <v>1.0</v>
      </c>
      <c r="E7" s="4">
        <v>0.0</v>
      </c>
      <c r="F7" s="4">
        <v>1.0</v>
      </c>
      <c r="G7" s="4">
        <v>0.0</v>
      </c>
      <c r="I7" s="13" t="s">
        <v>7</v>
      </c>
      <c r="J7" s="14" t="s">
        <v>16</v>
      </c>
    </row>
    <row r="8" ht="14.25" customHeight="1" outlineLevel="1">
      <c r="A8" s="12" t="s">
        <v>17</v>
      </c>
      <c r="B8" s="3">
        <v>4.0</v>
      </c>
      <c r="C8" s="4">
        <v>12.0</v>
      </c>
      <c r="D8" s="4">
        <v>8.0</v>
      </c>
      <c r="E8" s="4">
        <v>4.0</v>
      </c>
      <c r="F8" s="4">
        <v>4.0</v>
      </c>
      <c r="G8" s="4">
        <v>4.0</v>
      </c>
      <c r="I8" s="13" t="s">
        <v>8</v>
      </c>
      <c r="J8" s="13" t="s">
        <v>18</v>
      </c>
    </row>
    <row r="9" ht="14.25" customHeight="1" outlineLevel="1">
      <c r="A9" s="12" t="s">
        <v>19</v>
      </c>
      <c r="B9" s="3">
        <v>2.0</v>
      </c>
      <c r="C9" s="4">
        <v>8.0</v>
      </c>
      <c r="D9" s="4">
        <v>2.0</v>
      </c>
      <c r="E9" s="4">
        <v>0.0</v>
      </c>
      <c r="F9" s="4">
        <v>0.0</v>
      </c>
      <c r="G9" s="4">
        <v>0.0</v>
      </c>
      <c r="I9" s="13" t="s">
        <v>9</v>
      </c>
      <c r="J9" s="13" t="s">
        <v>18</v>
      </c>
    </row>
    <row r="10" ht="27.0" customHeight="1">
      <c r="A10" s="9" t="s">
        <v>20</v>
      </c>
      <c r="B10" s="9"/>
      <c r="C10" s="10" t="s">
        <v>6</v>
      </c>
      <c r="D10" s="10" t="s">
        <v>7</v>
      </c>
      <c r="E10" s="10" t="s">
        <v>8</v>
      </c>
      <c r="F10" s="10" t="s">
        <v>9</v>
      </c>
      <c r="G10" s="10" t="s">
        <v>10</v>
      </c>
      <c r="I10" s="13" t="s">
        <v>10</v>
      </c>
      <c r="J10" s="13" t="s">
        <v>16</v>
      </c>
    </row>
    <row r="11" ht="14.25" customHeight="1" outlineLevel="1">
      <c r="A11" s="12" t="s">
        <v>21</v>
      </c>
      <c r="B11" s="3">
        <v>4.0</v>
      </c>
      <c r="C11" s="4">
        <v>10.0</v>
      </c>
      <c r="D11" s="4">
        <v>10.0</v>
      </c>
      <c r="E11" s="4">
        <v>2.0</v>
      </c>
      <c r="F11" s="4">
        <v>4.0</v>
      </c>
      <c r="G11" s="4">
        <v>4.0</v>
      </c>
    </row>
    <row r="12" ht="14.25" customHeight="1" outlineLevel="1">
      <c r="A12" s="12" t="s">
        <v>22</v>
      </c>
      <c r="B12" s="3">
        <v>6.0</v>
      </c>
      <c r="C12" s="4">
        <v>10.0</v>
      </c>
      <c r="D12" s="4">
        <v>20.0</v>
      </c>
      <c r="E12" s="4">
        <v>2.0</v>
      </c>
      <c r="F12" s="4">
        <v>4.0</v>
      </c>
      <c r="G12" s="4">
        <v>2.0</v>
      </c>
    </row>
    <row r="13" ht="14.25" customHeight="1" outlineLevel="1">
      <c r="A13" s="12" t="s">
        <v>23</v>
      </c>
      <c r="B13" s="3">
        <v>1.0</v>
      </c>
      <c r="C13" s="4">
        <v>4.0</v>
      </c>
      <c r="D13" s="4">
        <v>2.0</v>
      </c>
      <c r="E13" s="4">
        <v>0.0</v>
      </c>
      <c r="F13" s="4">
        <v>1.0</v>
      </c>
      <c r="G13" s="4">
        <v>1.0</v>
      </c>
    </row>
    <row r="14" ht="14.25" customHeight="1" outlineLevel="1">
      <c r="A14" s="12" t="s">
        <v>24</v>
      </c>
      <c r="B14" s="3">
        <v>7.0</v>
      </c>
      <c r="C14" s="4">
        <v>6.0</v>
      </c>
      <c r="D14" s="4">
        <v>6.0</v>
      </c>
      <c r="E14" s="4">
        <v>0.0</v>
      </c>
      <c r="F14" s="4">
        <v>2.0</v>
      </c>
      <c r="G14" s="4">
        <v>28.0</v>
      </c>
    </row>
    <row r="15" ht="14.25" customHeight="1" outlineLevel="1">
      <c r="A15" s="12" t="s">
        <v>25</v>
      </c>
      <c r="B15" s="15">
        <v>4.0</v>
      </c>
      <c r="C15" s="16">
        <v>10.0</v>
      </c>
      <c r="D15" s="16">
        <v>6.0</v>
      </c>
      <c r="E15" s="16">
        <v>2.0</v>
      </c>
      <c r="F15" s="16">
        <v>2.0</v>
      </c>
      <c r="G15" s="16">
        <v>2.0</v>
      </c>
    </row>
    <row r="16" ht="14.25" customHeight="1" outlineLevel="1">
      <c r="A16" s="12" t="s">
        <v>26</v>
      </c>
      <c r="B16" s="3">
        <v>1.0</v>
      </c>
      <c r="C16" s="4">
        <v>4.0</v>
      </c>
      <c r="D16" s="4">
        <v>1.0</v>
      </c>
      <c r="E16" s="4">
        <v>1.0</v>
      </c>
      <c r="F16" s="4">
        <v>1.0</v>
      </c>
      <c r="G16" s="4">
        <v>1.0</v>
      </c>
    </row>
    <row r="17" ht="14.25" customHeight="1">
      <c r="A17" s="17" t="s">
        <v>27</v>
      </c>
      <c r="B17" s="9"/>
      <c r="C17" s="10" t="s">
        <v>6</v>
      </c>
      <c r="D17" s="10" t="s">
        <v>7</v>
      </c>
      <c r="E17" s="10" t="s">
        <v>8</v>
      </c>
      <c r="F17" s="10" t="s">
        <v>9</v>
      </c>
      <c r="G17" s="10" t="s">
        <v>10</v>
      </c>
    </row>
    <row r="18" ht="18.0" customHeight="1" outlineLevel="1">
      <c r="A18" s="12" t="s">
        <v>28</v>
      </c>
      <c r="B18" s="3">
        <v>4.0</v>
      </c>
      <c r="C18" s="4">
        <v>4.0</v>
      </c>
      <c r="D18" s="4">
        <v>20.0</v>
      </c>
      <c r="E18" s="4">
        <v>6.0</v>
      </c>
      <c r="F18" s="4">
        <v>2.0</v>
      </c>
      <c r="G18" s="4">
        <v>0.0</v>
      </c>
    </row>
    <row r="19" ht="18.0" customHeight="1" outlineLevel="1">
      <c r="A19" s="12" t="s">
        <v>29</v>
      </c>
      <c r="B19" s="3">
        <v>5.0</v>
      </c>
      <c r="C19" s="4">
        <v>2.0</v>
      </c>
      <c r="D19" s="4">
        <v>10.0</v>
      </c>
      <c r="E19" s="4">
        <v>20.0</v>
      </c>
      <c r="F19" s="4">
        <v>2.0</v>
      </c>
      <c r="G19" s="4">
        <v>0.0</v>
      </c>
    </row>
    <row r="20" ht="18.0" customHeight="1" outlineLevel="1">
      <c r="A20" s="12" t="s">
        <v>30</v>
      </c>
      <c r="B20" s="3">
        <v>5.0</v>
      </c>
      <c r="C20" s="4">
        <v>2.0</v>
      </c>
      <c r="D20" s="4">
        <v>12.0</v>
      </c>
      <c r="E20" s="4">
        <v>16.0</v>
      </c>
      <c r="F20" s="4">
        <v>2.0</v>
      </c>
      <c r="G20" s="4">
        <v>0.0</v>
      </c>
    </row>
    <row r="21" ht="18.0" customHeight="1" outlineLevel="1">
      <c r="A21" s="9" t="s">
        <v>31</v>
      </c>
      <c r="B21" s="9"/>
      <c r="C21" s="10" t="s">
        <v>6</v>
      </c>
      <c r="D21" s="10" t="s">
        <v>7</v>
      </c>
      <c r="E21" s="10" t="s">
        <v>8</v>
      </c>
      <c r="F21" s="10" t="s">
        <v>9</v>
      </c>
      <c r="G21" s="10" t="s">
        <v>10</v>
      </c>
    </row>
    <row r="22" ht="18.0" customHeight="1" outlineLevel="1">
      <c r="A22" s="18" t="s">
        <v>32</v>
      </c>
      <c r="B22" s="19"/>
      <c r="C22" s="20"/>
      <c r="D22" s="20"/>
      <c r="E22" s="20"/>
      <c r="F22" s="20"/>
      <c r="G22" s="20"/>
    </row>
    <row r="23" ht="18.0" customHeight="1" outlineLevel="1">
      <c r="A23" s="21" t="s">
        <v>33</v>
      </c>
      <c r="B23" s="3">
        <v>2.0</v>
      </c>
      <c r="C23" s="4">
        <v>4.0</v>
      </c>
      <c r="D23" s="4">
        <v>8.0</v>
      </c>
      <c r="E23" s="4">
        <v>0.0</v>
      </c>
      <c r="F23" s="4">
        <v>2.0</v>
      </c>
      <c r="G23" s="4">
        <v>0.0</v>
      </c>
    </row>
    <row r="24" ht="18.0" customHeight="1" outlineLevel="1">
      <c r="A24" s="21" t="s">
        <v>34</v>
      </c>
      <c r="B24" s="3">
        <v>4.0</v>
      </c>
      <c r="C24" s="4">
        <v>6.0</v>
      </c>
      <c r="D24" s="4">
        <v>18.0</v>
      </c>
      <c r="E24" s="4">
        <v>2.0</v>
      </c>
      <c r="F24" s="4">
        <v>4.0</v>
      </c>
      <c r="G24" s="4">
        <v>0.0</v>
      </c>
    </row>
    <row r="25" ht="18.0" customHeight="1" outlineLevel="1">
      <c r="A25" s="21" t="s">
        <v>35</v>
      </c>
      <c r="B25" s="3">
        <v>4.0</v>
      </c>
      <c r="C25" s="4">
        <v>6.0</v>
      </c>
      <c r="D25" s="4">
        <v>16.0</v>
      </c>
      <c r="E25" s="4">
        <v>2.0</v>
      </c>
      <c r="F25" s="4">
        <v>4.0</v>
      </c>
      <c r="G25" s="4">
        <v>0.0</v>
      </c>
    </row>
    <row r="26" ht="18.0" customHeight="1" outlineLevel="1">
      <c r="A26" s="21" t="s">
        <v>36</v>
      </c>
      <c r="B26" s="3">
        <v>3.0</v>
      </c>
      <c r="C26" s="4">
        <v>4.0</v>
      </c>
      <c r="D26" s="4">
        <v>12.0</v>
      </c>
      <c r="E26" s="4">
        <v>2.0</v>
      </c>
      <c r="F26" s="4">
        <v>2.0</v>
      </c>
      <c r="G26" s="4">
        <v>0.0</v>
      </c>
    </row>
    <row r="27" ht="18.0" customHeight="1" outlineLevel="1">
      <c r="A27" s="21" t="s">
        <v>37</v>
      </c>
      <c r="B27" s="3">
        <v>3.0</v>
      </c>
      <c r="C27" s="4">
        <v>4.0</v>
      </c>
      <c r="D27" s="4">
        <v>10.0</v>
      </c>
      <c r="E27" s="4">
        <v>0.0</v>
      </c>
      <c r="F27" s="4">
        <v>2.0</v>
      </c>
      <c r="G27" s="4">
        <v>4.0</v>
      </c>
    </row>
    <row r="28" ht="18.0" customHeight="1" outlineLevel="1">
      <c r="A28" s="21" t="s">
        <v>38</v>
      </c>
      <c r="B28" s="3">
        <v>5.0</v>
      </c>
      <c r="C28" s="4">
        <v>6.0</v>
      </c>
      <c r="D28" s="4">
        <v>20.0</v>
      </c>
      <c r="E28" s="4">
        <v>2.0</v>
      </c>
      <c r="F28" s="4">
        <v>4.0</v>
      </c>
      <c r="G28" s="4">
        <v>0.0</v>
      </c>
    </row>
    <row r="29" ht="18.0" customHeight="1" outlineLevel="1">
      <c r="A29" s="21" t="s">
        <v>39</v>
      </c>
      <c r="B29" s="3">
        <v>5.0</v>
      </c>
      <c r="C29" s="4">
        <v>6.0</v>
      </c>
      <c r="D29" s="4">
        <v>18.0</v>
      </c>
      <c r="E29" s="4">
        <v>4.0</v>
      </c>
      <c r="F29" s="4">
        <v>4.0</v>
      </c>
      <c r="G29" s="4">
        <v>0.0</v>
      </c>
    </row>
    <row r="30" ht="18.0" customHeight="1" outlineLevel="1">
      <c r="A30" s="22" t="s">
        <v>40</v>
      </c>
      <c r="B30" s="23"/>
      <c r="C30" s="24"/>
      <c r="D30" s="24"/>
      <c r="E30" s="24"/>
      <c r="F30" s="24"/>
      <c r="G30" s="24"/>
    </row>
    <row r="31" ht="18.0" customHeight="1" outlineLevel="1">
      <c r="A31" s="21" t="s">
        <v>41</v>
      </c>
      <c r="B31" s="3">
        <v>6.0</v>
      </c>
      <c r="C31" s="4">
        <v>6.0</v>
      </c>
      <c r="D31" s="4">
        <v>22.0</v>
      </c>
      <c r="E31" s="4">
        <v>4.0</v>
      </c>
      <c r="F31" s="4">
        <v>4.0</v>
      </c>
      <c r="G31" s="4">
        <v>4.0</v>
      </c>
    </row>
    <row r="32" ht="18.0" customHeight="1" outlineLevel="1">
      <c r="A32" s="21" t="s">
        <v>42</v>
      </c>
      <c r="B32" s="3">
        <v>5.0</v>
      </c>
      <c r="C32" s="4">
        <v>6.0</v>
      </c>
      <c r="D32" s="4">
        <v>20.0</v>
      </c>
      <c r="E32" s="4">
        <v>2.0</v>
      </c>
      <c r="F32" s="4">
        <v>4.0</v>
      </c>
      <c r="G32" s="4">
        <v>2.0</v>
      </c>
    </row>
    <row r="33" ht="18.0" customHeight="1" outlineLevel="1">
      <c r="A33" s="21" t="s">
        <v>43</v>
      </c>
      <c r="B33" s="3">
        <v>5.0</v>
      </c>
      <c r="C33" s="4">
        <v>6.0</v>
      </c>
      <c r="D33" s="4">
        <v>20.0</v>
      </c>
      <c r="E33" s="4">
        <v>4.0</v>
      </c>
      <c r="F33" s="4">
        <v>6.0</v>
      </c>
      <c r="G33" s="4">
        <v>0.0</v>
      </c>
    </row>
    <row r="34" ht="18.0" customHeight="1" outlineLevel="1">
      <c r="A34" s="21" t="s">
        <v>44</v>
      </c>
      <c r="B34" s="3">
        <v>5.0</v>
      </c>
      <c r="C34" s="4">
        <v>6.0</v>
      </c>
      <c r="D34" s="4">
        <v>22.0</v>
      </c>
      <c r="E34" s="4">
        <v>4.0</v>
      </c>
      <c r="F34" s="4">
        <v>4.0</v>
      </c>
      <c r="G34" s="4">
        <v>2.0</v>
      </c>
    </row>
    <row r="35" ht="18.0" customHeight="1" outlineLevel="1">
      <c r="A35" s="21" t="s">
        <v>45</v>
      </c>
      <c r="B35" s="3">
        <v>6.0</v>
      </c>
      <c r="C35" s="4">
        <v>6.0</v>
      </c>
      <c r="D35" s="4">
        <v>24.0</v>
      </c>
      <c r="E35" s="4">
        <v>4.0</v>
      </c>
      <c r="F35" s="4">
        <v>6.0</v>
      </c>
      <c r="G35" s="4">
        <v>2.0</v>
      </c>
    </row>
    <row r="36" ht="18.0" customHeight="1" outlineLevel="1">
      <c r="A36" s="25" t="s">
        <v>46</v>
      </c>
      <c r="B36" s="23"/>
      <c r="C36" s="24"/>
      <c r="D36" s="24"/>
      <c r="E36" s="24"/>
      <c r="F36" s="24"/>
      <c r="G36" s="24"/>
    </row>
    <row r="37" ht="18.0" customHeight="1" outlineLevel="1">
      <c r="A37" s="21" t="s">
        <v>47</v>
      </c>
      <c r="B37" s="3">
        <v>5.0</v>
      </c>
      <c r="C37" s="4">
        <v>6.0</v>
      </c>
      <c r="D37" s="4">
        <v>18.0</v>
      </c>
      <c r="E37" s="4">
        <v>2.0</v>
      </c>
      <c r="F37" s="4">
        <v>4.0</v>
      </c>
      <c r="G37" s="4">
        <v>0.0</v>
      </c>
    </row>
    <row r="38" ht="18.0" customHeight="1" outlineLevel="1">
      <c r="A38" s="21" t="s">
        <v>48</v>
      </c>
      <c r="B38" s="3">
        <v>5.0</v>
      </c>
      <c r="C38" s="4">
        <v>6.0</v>
      </c>
      <c r="D38" s="4">
        <v>18.0</v>
      </c>
      <c r="E38" s="4">
        <v>2.0</v>
      </c>
      <c r="F38" s="4">
        <v>6.0</v>
      </c>
      <c r="G38" s="4">
        <v>0.0</v>
      </c>
    </row>
    <row r="39" ht="18.0" customHeight="1" outlineLevel="1">
      <c r="A39" s="21" t="s">
        <v>49</v>
      </c>
      <c r="B39" s="3">
        <v>5.0</v>
      </c>
      <c r="C39" s="4">
        <v>6.0</v>
      </c>
      <c r="D39" s="4">
        <v>20.0</v>
      </c>
      <c r="E39" s="4">
        <v>4.0</v>
      </c>
      <c r="F39" s="4">
        <v>6.0</v>
      </c>
      <c r="G39" s="4">
        <v>0.0</v>
      </c>
    </row>
    <row r="40" ht="18.0" customHeight="1" outlineLevel="1">
      <c r="A40" s="25" t="s">
        <v>50</v>
      </c>
      <c r="B40" s="23"/>
      <c r="C40" s="24"/>
      <c r="D40" s="24"/>
      <c r="E40" s="24"/>
      <c r="F40" s="24"/>
      <c r="G40" s="24"/>
    </row>
    <row r="41" ht="18.0" customHeight="1" outlineLevel="1">
      <c r="A41" s="21" t="s">
        <v>51</v>
      </c>
      <c r="B41" s="3">
        <v>5.0</v>
      </c>
      <c r="C41" s="4">
        <v>4.0</v>
      </c>
      <c r="D41" s="4">
        <v>10.0</v>
      </c>
      <c r="E41" s="4">
        <v>0.0</v>
      </c>
      <c r="F41" s="4">
        <v>2.0</v>
      </c>
      <c r="G41" s="4">
        <v>12.0</v>
      </c>
    </row>
    <row r="42" ht="18.0" customHeight="1" outlineLevel="1">
      <c r="A42" s="21" t="s">
        <v>52</v>
      </c>
      <c r="B42" s="3">
        <v>3.0</v>
      </c>
      <c r="C42" s="4">
        <v>2.0</v>
      </c>
      <c r="D42" s="4">
        <v>6.0</v>
      </c>
      <c r="E42" s="4">
        <v>0.0</v>
      </c>
      <c r="F42" s="4">
        <v>2.0</v>
      </c>
      <c r="G42" s="4">
        <v>12.0</v>
      </c>
    </row>
    <row r="43" ht="18.0" customHeight="1" outlineLevel="1">
      <c r="A43" s="21" t="s">
        <v>53</v>
      </c>
      <c r="B43" s="3">
        <v>5.0</v>
      </c>
      <c r="C43" s="4">
        <v>4.0</v>
      </c>
      <c r="D43" s="4">
        <v>10.0</v>
      </c>
      <c r="E43" s="4">
        <v>0.0</v>
      </c>
      <c r="F43" s="4">
        <v>10.0</v>
      </c>
      <c r="G43" s="4">
        <v>6.0</v>
      </c>
    </row>
    <row r="44" ht="18.0" customHeight="1" outlineLevel="1">
      <c r="A44" s="9" t="s">
        <v>54</v>
      </c>
      <c r="B44" s="9"/>
      <c r="C44" s="10" t="s">
        <v>6</v>
      </c>
      <c r="D44" s="10" t="s">
        <v>7</v>
      </c>
      <c r="E44" s="10" t="s">
        <v>8</v>
      </c>
      <c r="F44" s="10" t="s">
        <v>9</v>
      </c>
      <c r="G44" s="10" t="s">
        <v>10</v>
      </c>
    </row>
    <row r="45" ht="18.0" customHeight="1" outlineLevel="1">
      <c r="A45" s="25" t="s">
        <v>32</v>
      </c>
      <c r="B45" s="23"/>
      <c r="C45" s="24"/>
      <c r="D45" s="24"/>
      <c r="E45" s="24"/>
      <c r="F45" s="24"/>
      <c r="G45" s="24"/>
    </row>
    <row r="46" ht="18.0" customHeight="1" outlineLevel="1">
      <c r="A46" s="21" t="s">
        <v>55</v>
      </c>
      <c r="B46" s="3">
        <v>4.0</v>
      </c>
      <c r="C46" s="4">
        <v>6.0</v>
      </c>
      <c r="D46" s="4">
        <v>20.0</v>
      </c>
      <c r="E46" s="4">
        <v>2.0</v>
      </c>
      <c r="F46" s="4">
        <v>4.0</v>
      </c>
      <c r="G46" s="4">
        <v>0.0</v>
      </c>
    </row>
    <row r="47" ht="18.0" customHeight="1" outlineLevel="1">
      <c r="A47" s="21" t="s">
        <v>56</v>
      </c>
      <c r="B47" s="3">
        <v>4.0</v>
      </c>
      <c r="C47" s="4">
        <v>6.0</v>
      </c>
      <c r="D47" s="4">
        <v>20.0</v>
      </c>
      <c r="E47" s="4">
        <v>2.0</v>
      </c>
      <c r="F47" s="4">
        <v>4.0</v>
      </c>
      <c r="G47" s="4">
        <v>0.0</v>
      </c>
    </row>
    <row r="48" ht="18.0" customHeight="1" outlineLevel="1">
      <c r="A48" s="21" t="s">
        <v>57</v>
      </c>
      <c r="B48" s="3">
        <v>4.0</v>
      </c>
      <c r="C48" s="4">
        <v>6.0</v>
      </c>
      <c r="D48" s="4">
        <v>18.0</v>
      </c>
      <c r="E48" s="4">
        <v>2.0</v>
      </c>
      <c r="F48" s="4">
        <v>4.0</v>
      </c>
      <c r="G48" s="4">
        <v>0.0</v>
      </c>
    </row>
    <row r="49" ht="18.0" customHeight="1" outlineLevel="1">
      <c r="A49" s="21" t="s">
        <v>58</v>
      </c>
      <c r="B49" s="3">
        <v>3.0</v>
      </c>
      <c r="C49" s="4">
        <v>6.0</v>
      </c>
      <c r="D49" s="4">
        <v>20.0</v>
      </c>
      <c r="E49" s="4">
        <v>2.0</v>
      </c>
      <c r="F49" s="4">
        <v>4.0</v>
      </c>
      <c r="G49" s="4">
        <v>2.0</v>
      </c>
    </row>
    <row r="50" ht="18.0" customHeight="1" outlineLevel="1">
      <c r="A50" s="25" t="s">
        <v>40</v>
      </c>
      <c r="B50" s="23"/>
      <c r="C50" s="24"/>
      <c r="D50" s="24"/>
      <c r="E50" s="24"/>
      <c r="F50" s="24"/>
      <c r="G50" s="24"/>
    </row>
    <row r="51" ht="18.0" customHeight="1" outlineLevel="1">
      <c r="A51" s="21" t="s">
        <v>59</v>
      </c>
      <c r="B51" s="3">
        <v>5.0</v>
      </c>
      <c r="C51" s="4">
        <v>4.0</v>
      </c>
      <c r="D51" s="4">
        <v>16.0</v>
      </c>
      <c r="E51" s="4">
        <v>2.0</v>
      </c>
      <c r="F51" s="4">
        <v>2.0</v>
      </c>
      <c r="G51" s="4">
        <v>6.0</v>
      </c>
    </row>
    <row r="52" ht="18.0" customHeight="1" outlineLevel="1">
      <c r="A52" s="21" t="s">
        <v>60</v>
      </c>
      <c r="B52" s="3">
        <v>6.0</v>
      </c>
      <c r="C52" s="4">
        <v>6.0</v>
      </c>
      <c r="D52" s="4">
        <v>20.0</v>
      </c>
      <c r="E52" s="4">
        <v>2.0</v>
      </c>
      <c r="F52" s="4">
        <v>4.0</v>
      </c>
      <c r="G52" s="4">
        <v>4.0</v>
      </c>
    </row>
    <row r="53" ht="18.0" customHeight="1" outlineLevel="1">
      <c r="A53" s="21" t="s">
        <v>61</v>
      </c>
      <c r="B53" s="3">
        <v>5.0</v>
      </c>
      <c r="C53" s="4">
        <v>6.0</v>
      </c>
      <c r="D53" s="4">
        <v>18.0</v>
      </c>
      <c r="E53" s="4">
        <v>4.0</v>
      </c>
      <c r="F53" s="4">
        <v>6.0</v>
      </c>
      <c r="G53" s="4">
        <v>2.0</v>
      </c>
    </row>
    <row r="54" ht="18.0" customHeight="1" outlineLevel="1">
      <c r="A54" s="21" t="s">
        <v>62</v>
      </c>
      <c r="B54" s="3">
        <v>6.0</v>
      </c>
      <c r="C54" s="4">
        <v>6.0</v>
      </c>
      <c r="D54" s="4">
        <v>22.0</v>
      </c>
      <c r="E54" s="4">
        <v>4.0</v>
      </c>
      <c r="F54" s="4">
        <v>6.0</v>
      </c>
      <c r="G54" s="4">
        <v>2.0</v>
      </c>
    </row>
    <row r="55" ht="18.0" customHeight="1" outlineLevel="1">
      <c r="A55" s="25" t="s">
        <v>63</v>
      </c>
      <c r="B55" s="23"/>
      <c r="C55" s="24"/>
      <c r="D55" s="24"/>
      <c r="E55" s="24"/>
      <c r="F55" s="24"/>
      <c r="G55" s="24"/>
    </row>
    <row r="56" ht="18.0" customHeight="1" outlineLevel="1">
      <c r="A56" s="21" t="s">
        <v>64</v>
      </c>
      <c r="B56" s="3">
        <v>4.0</v>
      </c>
      <c r="C56" s="4">
        <v>4.0</v>
      </c>
      <c r="D56" s="4">
        <v>14.0</v>
      </c>
      <c r="E56" s="4">
        <v>2.0</v>
      </c>
      <c r="F56" s="4">
        <v>4.0</v>
      </c>
      <c r="G56" s="4">
        <v>2.0</v>
      </c>
    </row>
    <row r="57" ht="18.0" customHeight="1" outlineLevel="1">
      <c r="A57" s="21" t="s">
        <v>65</v>
      </c>
      <c r="B57" s="3">
        <v>4.0</v>
      </c>
      <c r="C57" s="4">
        <v>4.0</v>
      </c>
      <c r="D57" s="4">
        <v>16.0</v>
      </c>
      <c r="E57" s="4">
        <v>2.0</v>
      </c>
      <c r="F57" s="4">
        <v>4.0</v>
      </c>
      <c r="G57" s="4">
        <v>2.0</v>
      </c>
    </row>
    <row r="58" ht="18.0" customHeight="1" outlineLevel="1">
      <c r="A58" s="21" t="s">
        <v>66</v>
      </c>
      <c r="B58" s="3">
        <v>4.0</v>
      </c>
      <c r="C58" s="4">
        <v>4.0</v>
      </c>
      <c r="D58" s="4">
        <v>12.0</v>
      </c>
      <c r="E58" s="4">
        <v>2.0</v>
      </c>
      <c r="F58" s="4">
        <v>4.0</v>
      </c>
      <c r="G58" s="4">
        <v>6.0</v>
      </c>
    </row>
    <row r="59" ht="18.0" customHeight="1" outlineLevel="1">
      <c r="A59" s="25" t="s">
        <v>67</v>
      </c>
      <c r="B59" s="23"/>
      <c r="C59" s="24"/>
      <c r="D59" s="24"/>
      <c r="E59" s="24"/>
      <c r="F59" s="24"/>
      <c r="G59" s="24"/>
    </row>
    <row r="60" ht="18.0" customHeight="1" outlineLevel="1">
      <c r="A60" s="21" t="s">
        <v>68</v>
      </c>
      <c r="B60" s="3">
        <v>4.0</v>
      </c>
      <c r="C60" s="4">
        <v>4.0</v>
      </c>
      <c r="D60" s="4">
        <v>10.0</v>
      </c>
      <c r="E60" s="4">
        <v>0.0</v>
      </c>
      <c r="F60" s="4">
        <v>2.0</v>
      </c>
      <c r="G60" s="4">
        <v>12.0</v>
      </c>
    </row>
    <row r="61" ht="18.0" customHeight="1" outlineLevel="1">
      <c r="A61" s="21" t="s">
        <v>52</v>
      </c>
      <c r="B61" s="3">
        <v>3.0</v>
      </c>
      <c r="C61" s="4">
        <v>2.0</v>
      </c>
      <c r="D61" s="4">
        <v>6.0</v>
      </c>
      <c r="E61" s="4">
        <v>0.0</v>
      </c>
      <c r="F61" s="4">
        <v>2.0</v>
      </c>
      <c r="G61" s="4">
        <v>12.0</v>
      </c>
    </row>
    <row r="62" ht="18.0" customHeight="1" outlineLevel="1">
      <c r="A62" s="21" t="s">
        <v>53</v>
      </c>
      <c r="B62" s="3">
        <v>5.0</v>
      </c>
      <c r="C62" s="4">
        <v>4.0</v>
      </c>
      <c r="D62" s="4">
        <v>10.0</v>
      </c>
      <c r="E62" s="4">
        <v>0.0</v>
      </c>
      <c r="F62" s="4">
        <v>10.0</v>
      </c>
      <c r="G62" s="4">
        <v>6.0</v>
      </c>
    </row>
    <row r="63" ht="18.0" customHeight="1" outlineLevel="1">
      <c r="A63" s="9" t="s">
        <v>69</v>
      </c>
      <c r="B63" s="9"/>
      <c r="C63" s="10" t="s">
        <v>6</v>
      </c>
      <c r="D63" s="10" t="s">
        <v>7</v>
      </c>
      <c r="E63" s="10" t="s">
        <v>8</v>
      </c>
      <c r="F63" s="10" t="s">
        <v>9</v>
      </c>
      <c r="G63" s="10" t="s">
        <v>10</v>
      </c>
    </row>
    <row r="64" ht="18.0" customHeight="1" outlineLevel="1">
      <c r="A64" s="21" t="s">
        <v>70</v>
      </c>
      <c r="B64" s="3">
        <v>4.0</v>
      </c>
      <c r="C64" s="4">
        <v>4.0</v>
      </c>
      <c r="D64" s="4">
        <v>10.0</v>
      </c>
      <c r="E64" s="4">
        <v>2.0</v>
      </c>
      <c r="F64" s="4">
        <v>10.0</v>
      </c>
      <c r="G64" s="4">
        <v>0.0</v>
      </c>
    </row>
    <row r="65" ht="18.0" customHeight="1" outlineLevel="1">
      <c r="A65" s="21" t="s">
        <v>71</v>
      </c>
      <c r="B65" s="3">
        <v>4.0</v>
      </c>
      <c r="C65" s="4">
        <v>6.0</v>
      </c>
      <c r="D65" s="4">
        <v>6.0</v>
      </c>
      <c r="E65" s="4">
        <v>2.0</v>
      </c>
      <c r="F65" s="4">
        <v>12.0</v>
      </c>
      <c r="G65" s="4">
        <v>0.0</v>
      </c>
    </row>
    <row r="66" ht="18.0" customHeight="1" outlineLevel="1">
      <c r="A66" s="21" t="s">
        <v>72</v>
      </c>
      <c r="B66" s="3">
        <v>3.0</v>
      </c>
      <c r="C66" s="4">
        <v>2.0</v>
      </c>
      <c r="D66" s="4">
        <v>4.0</v>
      </c>
      <c r="E66" s="4">
        <v>8.0</v>
      </c>
      <c r="F66" s="4">
        <v>10.0</v>
      </c>
      <c r="G66" s="4">
        <v>0.0</v>
      </c>
    </row>
    <row r="67" ht="18.0" customHeight="1" outlineLevel="1">
      <c r="A67" s="21" t="s">
        <v>73</v>
      </c>
      <c r="B67" s="3">
        <v>2.0</v>
      </c>
      <c r="C67" s="4">
        <v>2.0</v>
      </c>
      <c r="D67" s="4">
        <v>4.0</v>
      </c>
      <c r="E67" s="4">
        <v>2.0</v>
      </c>
      <c r="F67" s="4">
        <v>8.0</v>
      </c>
      <c r="G67" s="4">
        <v>0.0</v>
      </c>
    </row>
    <row r="68" ht="18.0" customHeight="1" outlineLevel="1">
      <c r="A68" s="25" t="s">
        <v>74</v>
      </c>
      <c r="B68" s="23"/>
      <c r="C68" s="24"/>
      <c r="D68" s="24"/>
      <c r="E68" s="24"/>
      <c r="F68" s="24"/>
      <c r="G68" s="24"/>
    </row>
    <row r="69" ht="18.0" customHeight="1" outlineLevel="1">
      <c r="A69" s="21" t="s">
        <v>75</v>
      </c>
      <c r="B69" s="3">
        <v>3.0</v>
      </c>
      <c r="C69" s="4">
        <v>2.0</v>
      </c>
      <c r="D69" s="4">
        <v>6.0</v>
      </c>
      <c r="E69" s="4">
        <v>2.0</v>
      </c>
      <c r="F69" s="4">
        <v>12.0</v>
      </c>
      <c r="G69" s="4">
        <v>2.0</v>
      </c>
    </row>
    <row r="70" ht="18.0" customHeight="1" outlineLevel="1">
      <c r="A70" s="21" t="s">
        <v>76</v>
      </c>
      <c r="B70" s="3">
        <v>5.0</v>
      </c>
      <c r="C70" s="4">
        <v>2.0</v>
      </c>
      <c r="D70" s="4">
        <v>10.0</v>
      </c>
      <c r="E70" s="4">
        <v>4.0</v>
      </c>
      <c r="F70" s="4">
        <v>16.0</v>
      </c>
      <c r="G70" s="4">
        <v>2.0</v>
      </c>
    </row>
    <row r="71" ht="18.0" customHeight="1" outlineLevel="1">
      <c r="A71" s="21" t="s">
        <v>77</v>
      </c>
      <c r="B71" s="3">
        <v>4.0</v>
      </c>
      <c r="C71" s="4">
        <v>2.0</v>
      </c>
      <c r="D71" s="4">
        <v>4.0</v>
      </c>
      <c r="E71" s="4">
        <v>0.0</v>
      </c>
      <c r="F71" s="4">
        <v>10.0</v>
      </c>
      <c r="G71" s="4">
        <v>8.0</v>
      </c>
    </row>
    <row r="72" ht="18.0" customHeight="1" outlineLevel="1">
      <c r="A72" s="21" t="s">
        <v>78</v>
      </c>
      <c r="B72" s="3">
        <v>5.0</v>
      </c>
      <c r="C72" s="4">
        <v>2.0</v>
      </c>
      <c r="D72" s="4">
        <v>6.0</v>
      </c>
      <c r="E72" s="4">
        <v>4.0</v>
      </c>
      <c r="F72" s="4">
        <v>16.0</v>
      </c>
      <c r="G72" s="4">
        <v>2.0</v>
      </c>
    </row>
    <row r="73" ht="18.0" customHeight="1" outlineLevel="1">
      <c r="A73" s="21" t="s">
        <v>79</v>
      </c>
      <c r="B73" s="3">
        <v>5.0</v>
      </c>
      <c r="C73" s="4">
        <v>4.0</v>
      </c>
      <c r="D73" s="4">
        <v>10.0</v>
      </c>
      <c r="E73" s="4">
        <v>2.0</v>
      </c>
      <c r="F73" s="4">
        <v>16.0</v>
      </c>
      <c r="G73" s="4">
        <v>2.0</v>
      </c>
    </row>
    <row r="74" ht="18.0" customHeight="1" outlineLevel="1">
      <c r="A74" s="25" t="s">
        <v>80</v>
      </c>
      <c r="B74" s="23"/>
      <c r="C74" s="24"/>
      <c r="D74" s="24"/>
      <c r="E74" s="24"/>
      <c r="F74" s="24"/>
      <c r="G74" s="24"/>
    </row>
    <row r="75" ht="18.0" customHeight="1" outlineLevel="1">
      <c r="A75" s="21" t="s">
        <v>81</v>
      </c>
      <c r="B75" s="3">
        <v>5.0</v>
      </c>
      <c r="C75" s="4">
        <v>4.0</v>
      </c>
      <c r="D75" s="4">
        <v>6.0</v>
      </c>
      <c r="E75" s="4">
        <v>0.0</v>
      </c>
      <c r="F75" s="4">
        <v>6.0</v>
      </c>
      <c r="G75" s="4">
        <v>8.0</v>
      </c>
    </row>
    <row r="76" ht="18.0" customHeight="1" outlineLevel="1">
      <c r="A76" s="21" t="s">
        <v>82</v>
      </c>
      <c r="B76" s="3">
        <v>3.0</v>
      </c>
      <c r="C76" s="4">
        <v>4.0</v>
      </c>
      <c r="D76" s="4">
        <v>4.0</v>
      </c>
      <c r="E76" s="4">
        <v>0.0</v>
      </c>
      <c r="F76" s="4">
        <v>8.0</v>
      </c>
      <c r="G76" s="4">
        <v>2.0</v>
      </c>
    </row>
    <row r="77" ht="18.0" customHeight="1" outlineLevel="1">
      <c r="A77" s="25" t="s">
        <v>83</v>
      </c>
      <c r="B77" s="23"/>
      <c r="C77" s="24"/>
      <c r="D77" s="24"/>
      <c r="E77" s="24"/>
      <c r="F77" s="24"/>
      <c r="G77" s="24"/>
    </row>
    <row r="78" ht="18.0" customHeight="1" outlineLevel="1">
      <c r="A78" s="21" t="s">
        <v>84</v>
      </c>
      <c r="B78" s="3">
        <v>3.0</v>
      </c>
      <c r="C78" s="4">
        <v>2.0</v>
      </c>
      <c r="D78" s="4">
        <v>6.0</v>
      </c>
      <c r="E78" s="4">
        <v>2.0</v>
      </c>
      <c r="F78" s="4">
        <v>12.0</v>
      </c>
      <c r="G78" s="4">
        <v>2.0</v>
      </c>
    </row>
    <row r="79" ht="18.0" customHeight="1" outlineLevel="1">
      <c r="A79" s="21" t="s">
        <v>85</v>
      </c>
      <c r="B79" s="3">
        <v>5.0</v>
      </c>
      <c r="C79" s="4">
        <v>2.0</v>
      </c>
      <c r="D79" s="4">
        <v>10.0</v>
      </c>
      <c r="E79" s="4">
        <v>4.0</v>
      </c>
      <c r="F79" s="4">
        <v>16.0</v>
      </c>
      <c r="G79" s="4">
        <v>2.0</v>
      </c>
    </row>
    <row r="80" ht="18.0" customHeight="1" outlineLevel="1">
      <c r="A80" s="21" t="s">
        <v>86</v>
      </c>
      <c r="B80" s="3">
        <v>4.0</v>
      </c>
      <c r="C80" s="4">
        <v>2.0</v>
      </c>
      <c r="D80" s="4">
        <v>4.0</v>
      </c>
      <c r="E80" s="4">
        <v>0.0</v>
      </c>
      <c r="F80" s="4">
        <v>10.0</v>
      </c>
      <c r="G80" s="4">
        <v>8.0</v>
      </c>
    </row>
    <row r="81" ht="18.0" customHeight="1" outlineLevel="1">
      <c r="A81" s="21" t="s">
        <v>87</v>
      </c>
      <c r="B81" s="3">
        <v>5.0</v>
      </c>
      <c r="C81" s="4">
        <v>2.0</v>
      </c>
      <c r="D81" s="4">
        <v>6.0</v>
      </c>
      <c r="E81" s="4">
        <v>4.0</v>
      </c>
      <c r="F81" s="4">
        <v>16.0</v>
      </c>
      <c r="G81" s="4">
        <v>2.0</v>
      </c>
    </row>
    <row r="82" ht="18.0" customHeight="1" outlineLevel="1">
      <c r="A82" s="21" t="s">
        <v>88</v>
      </c>
      <c r="B82" s="3">
        <v>5.0</v>
      </c>
      <c r="C82" s="4">
        <v>4.0</v>
      </c>
      <c r="D82" s="4">
        <v>10.0</v>
      </c>
      <c r="E82" s="4">
        <v>2.0</v>
      </c>
      <c r="F82" s="4">
        <v>16.0</v>
      </c>
      <c r="G82" s="4">
        <v>2.0</v>
      </c>
    </row>
    <row r="83" ht="18.0" customHeight="1" outlineLevel="1">
      <c r="A83" s="25" t="s">
        <v>89</v>
      </c>
      <c r="B83" s="23"/>
      <c r="C83" s="24"/>
      <c r="D83" s="24"/>
      <c r="E83" s="24"/>
      <c r="F83" s="24"/>
      <c r="G83" s="24"/>
    </row>
    <row r="84" ht="18.0" customHeight="1" outlineLevel="1">
      <c r="A84" s="21" t="s">
        <v>90</v>
      </c>
      <c r="B84" s="3">
        <v>5.0</v>
      </c>
      <c r="C84" s="4">
        <v>4.0</v>
      </c>
      <c r="D84" s="4">
        <v>6.0</v>
      </c>
      <c r="E84" s="4">
        <v>0.0</v>
      </c>
      <c r="F84" s="4">
        <v>6.0</v>
      </c>
      <c r="G84" s="4">
        <v>8.0</v>
      </c>
    </row>
    <row r="85" ht="18.0" customHeight="1" outlineLevel="1">
      <c r="A85" s="21" t="s">
        <v>91</v>
      </c>
      <c r="B85" s="3">
        <v>3.0</v>
      </c>
      <c r="C85" s="4">
        <v>4.0</v>
      </c>
      <c r="D85" s="4">
        <v>4.0</v>
      </c>
      <c r="E85" s="4">
        <v>0.0</v>
      </c>
      <c r="F85" s="4">
        <v>8.0</v>
      </c>
      <c r="G85" s="4">
        <v>2.0</v>
      </c>
    </row>
    <row r="86" ht="18.0" customHeight="1" outlineLevel="1">
      <c r="A86" s="9" t="s">
        <v>92</v>
      </c>
      <c r="B86" s="9"/>
      <c r="C86" s="10" t="s">
        <v>6</v>
      </c>
      <c r="D86" s="10" t="s">
        <v>7</v>
      </c>
      <c r="E86" s="10" t="s">
        <v>8</v>
      </c>
      <c r="F86" s="10" t="s">
        <v>9</v>
      </c>
      <c r="G86" s="10" t="s">
        <v>10</v>
      </c>
    </row>
    <row r="87" ht="31.5" customHeight="1" outlineLevel="1">
      <c r="A87" s="26" t="s">
        <v>93</v>
      </c>
      <c r="B87" s="3">
        <v>4.0</v>
      </c>
      <c r="C87" s="4">
        <v>10.0</v>
      </c>
      <c r="D87" s="4">
        <v>8.0</v>
      </c>
      <c r="E87" s="4">
        <v>4.0</v>
      </c>
      <c r="F87" s="4">
        <v>6.0</v>
      </c>
      <c r="G87" s="4">
        <v>2.0</v>
      </c>
    </row>
    <row r="88" ht="18.0" customHeight="1" outlineLevel="1">
      <c r="A88" s="21" t="s">
        <v>94</v>
      </c>
      <c r="B88" s="3">
        <v>3.0</v>
      </c>
      <c r="C88" s="4">
        <v>6.0</v>
      </c>
      <c r="D88" s="4">
        <v>2.0</v>
      </c>
      <c r="E88" s="4">
        <v>0.0</v>
      </c>
      <c r="F88" s="4">
        <v>2.0</v>
      </c>
      <c r="G88" s="4">
        <v>4.0</v>
      </c>
    </row>
    <row r="89" ht="18.0" customHeight="1" outlineLevel="1">
      <c r="A89" s="21" t="s">
        <v>95</v>
      </c>
      <c r="B89" s="3">
        <v>4.0</v>
      </c>
      <c r="C89" s="4">
        <v>6.0</v>
      </c>
      <c r="D89" s="4">
        <v>6.0</v>
      </c>
      <c r="E89" s="4">
        <v>0.0</v>
      </c>
      <c r="F89" s="4">
        <v>2.0</v>
      </c>
      <c r="G89" s="4">
        <v>6.0</v>
      </c>
    </row>
    <row r="90" ht="18.0" customHeight="1" outlineLevel="1">
      <c r="A90" s="21" t="s">
        <v>96</v>
      </c>
      <c r="B90" s="3">
        <v>4.0</v>
      </c>
      <c r="C90" s="4">
        <v>10.0</v>
      </c>
      <c r="D90" s="4">
        <v>4.0</v>
      </c>
      <c r="E90" s="4">
        <v>2.0</v>
      </c>
      <c r="F90" s="4">
        <v>2.0</v>
      </c>
      <c r="G90" s="4">
        <v>2.0</v>
      </c>
    </row>
    <row r="91" ht="18.0" customHeight="1" outlineLevel="1">
      <c r="A91" s="21" t="s">
        <v>97</v>
      </c>
      <c r="B91" s="3">
        <v>2.0</v>
      </c>
      <c r="C91" s="4">
        <v>6.0</v>
      </c>
      <c r="D91" s="4">
        <v>2.0</v>
      </c>
      <c r="E91" s="4">
        <v>0.0</v>
      </c>
      <c r="F91" s="4">
        <v>2.0</v>
      </c>
      <c r="G91" s="4">
        <v>0.0</v>
      </c>
    </row>
    <row r="92" ht="18.0" customHeight="1" outlineLevel="1">
      <c r="A92" s="21" t="s">
        <v>98</v>
      </c>
      <c r="B92" s="3">
        <v>2.0</v>
      </c>
      <c r="C92" s="4">
        <v>4.0</v>
      </c>
      <c r="D92" s="4">
        <v>4.0</v>
      </c>
      <c r="E92" s="4">
        <v>6.0</v>
      </c>
      <c r="F92" s="4">
        <v>2.0</v>
      </c>
      <c r="G92" s="4">
        <v>0.0</v>
      </c>
    </row>
    <row r="93" ht="14.25" customHeight="1">
      <c r="B93" s="27">
        <f>SUM(B6:B92)</f>
        <v>282</v>
      </c>
      <c r="J93" s="27"/>
      <c r="K93" s="28"/>
      <c r="L93" s="28"/>
      <c r="M93" s="28"/>
      <c r="N93" s="28"/>
      <c r="O93" s="28"/>
    </row>
    <row r="94" ht="14.25" customHeight="1">
      <c r="J94" s="27"/>
      <c r="K94" s="28"/>
      <c r="L94" s="28"/>
      <c r="M94" s="28"/>
      <c r="N94" s="28"/>
      <c r="O94" s="28"/>
    </row>
    <row r="95" ht="14.25" customHeight="1">
      <c r="A95" s="28"/>
      <c r="J95" s="27"/>
      <c r="K95" s="28"/>
      <c r="L95" s="28"/>
      <c r="M95" s="28"/>
      <c r="N95" s="28"/>
      <c r="O95" s="28"/>
    </row>
    <row r="96" ht="14.25" customHeight="1">
      <c r="A96" s="28"/>
      <c r="J96" s="27"/>
      <c r="K96" s="28"/>
      <c r="L96" s="28"/>
      <c r="M96" s="28"/>
      <c r="N96" s="28"/>
      <c r="O96" s="28"/>
    </row>
    <row r="97" ht="14.25" customHeight="1">
      <c r="A97" s="28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</sheetData>
  <mergeCells count="3">
    <mergeCell ref="A2:D2"/>
    <mergeCell ref="C4:G4"/>
    <mergeCell ref="I4:J4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1.0"/>
    <col customWidth="1" min="3" max="3" width="40.43"/>
    <col customWidth="1" min="4" max="4" width="10.71"/>
    <col customWidth="1" min="5" max="5" width="7.43"/>
    <col customWidth="1" min="6" max="6" width="26.29"/>
    <col customWidth="1" min="7" max="7" width="4.86"/>
    <col customWidth="1" min="8" max="8" width="23.43"/>
    <col customWidth="1" min="9" max="9" width="31.14"/>
    <col customWidth="1" min="10" max="10" width="16.0"/>
    <col customWidth="1" min="11" max="11" width="15.29"/>
    <col customWidth="1" min="12" max="12" width="88.86"/>
    <col customWidth="1" min="13" max="26" width="10.71"/>
  </cols>
  <sheetData>
    <row r="1" ht="14.25" customHeight="1"/>
    <row r="2" ht="14.25" customHeight="1">
      <c r="A2" s="11" t="s">
        <v>99</v>
      </c>
      <c r="B2" s="11" t="s">
        <v>100</v>
      </c>
      <c r="C2" s="11" t="s">
        <v>101</v>
      </c>
      <c r="D2" s="10" t="s">
        <v>102</v>
      </c>
      <c r="E2" s="11" t="s">
        <v>103</v>
      </c>
      <c r="F2" s="11" t="s">
        <v>104</v>
      </c>
      <c r="H2" s="29" t="s">
        <v>105</v>
      </c>
      <c r="I2" s="30"/>
      <c r="J2" s="30"/>
      <c r="K2" s="30"/>
    </row>
    <row r="3" ht="14.25" customHeight="1">
      <c r="A3" s="3" t="s">
        <v>106</v>
      </c>
      <c r="B3" s="3" t="s">
        <v>6</v>
      </c>
      <c r="C3" s="3" t="str">
        <f>EDT!$J$6</f>
        <v>Baltazar Roa Soto</v>
      </c>
      <c r="D3" s="31">
        <v>10889.0</v>
      </c>
      <c r="E3" s="32">
        <f>SUM(EDT!C6:C9)</f>
        <v>46</v>
      </c>
      <c r="F3" s="33">
        <f t="shared" ref="F3:F7" si="1">D3*E3</f>
        <v>500894</v>
      </c>
      <c r="H3" s="11" t="s">
        <v>100</v>
      </c>
      <c r="I3" s="11" t="s">
        <v>101</v>
      </c>
      <c r="J3" s="11" t="s">
        <v>107</v>
      </c>
      <c r="K3" s="11" t="s">
        <v>108</v>
      </c>
    </row>
    <row r="4" ht="14.25" customHeight="1">
      <c r="A4" s="3" t="s">
        <v>109</v>
      </c>
      <c r="B4" s="3" t="s">
        <v>7</v>
      </c>
      <c r="C4" s="3" t="str">
        <f>EDT!$J$7</f>
        <v>Joaquin Galarce</v>
      </c>
      <c r="D4" s="3">
        <v>4307.0</v>
      </c>
      <c r="E4" s="32">
        <f>SUM(EDT!D6:D9)</f>
        <v>15</v>
      </c>
      <c r="F4" s="33">
        <f t="shared" si="1"/>
        <v>64605</v>
      </c>
      <c r="H4" s="3" t="s">
        <v>6</v>
      </c>
      <c r="I4" s="3" t="str">
        <f>EDT!$J$6</f>
        <v>Baltazar Roa Soto</v>
      </c>
      <c r="J4" s="31">
        <v>10889.0</v>
      </c>
      <c r="K4" s="31">
        <v>1742314.0</v>
      </c>
      <c r="L4" s="34" t="s">
        <v>110</v>
      </c>
    </row>
    <row r="5" ht="14.25" customHeight="1">
      <c r="A5" s="3" t="s">
        <v>8</v>
      </c>
      <c r="B5" s="3" t="s">
        <v>111</v>
      </c>
      <c r="C5" s="3" t="str">
        <f>EDT!$J$8</f>
        <v>Angel Pinto</v>
      </c>
      <c r="D5" s="31">
        <v>8245.0</v>
      </c>
      <c r="E5" s="32">
        <f>SUM(EDT!E6:E9)</f>
        <v>6</v>
      </c>
      <c r="F5" s="33">
        <f t="shared" si="1"/>
        <v>49470</v>
      </c>
      <c r="H5" s="3" t="s">
        <v>7</v>
      </c>
      <c r="I5" s="35" t="str">
        <f>EDT!$J$7</f>
        <v>Joaquin Galarce</v>
      </c>
      <c r="J5" s="3">
        <v>4307.0</v>
      </c>
      <c r="K5" s="31">
        <v>689178.0</v>
      </c>
      <c r="L5" s="34" t="s">
        <v>112</v>
      </c>
    </row>
    <row r="6" ht="14.25" customHeight="1">
      <c r="A6" s="3" t="s">
        <v>9</v>
      </c>
      <c r="B6" s="3" t="s">
        <v>113</v>
      </c>
      <c r="C6" s="3" t="str">
        <f>EDT!$J$9</f>
        <v>Angel Pinto</v>
      </c>
      <c r="D6" s="31">
        <v>8786.0</v>
      </c>
      <c r="E6" s="32">
        <f>SUM(EDT!F6:F9)</f>
        <v>7</v>
      </c>
      <c r="F6" s="33">
        <f t="shared" si="1"/>
        <v>61502</v>
      </c>
      <c r="H6" s="3" t="s">
        <v>114</v>
      </c>
      <c r="I6" s="3" t="str">
        <f>EDT!$J$8</f>
        <v>Angel Pinto</v>
      </c>
      <c r="J6" s="31">
        <v>8245.0</v>
      </c>
      <c r="K6" s="31">
        <v>1319290.0</v>
      </c>
      <c r="L6" s="34" t="s">
        <v>115</v>
      </c>
    </row>
    <row r="7" ht="14.25" customHeight="1">
      <c r="A7" s="3" t="s">
        <v>116</v>
      </c>
      <c r="B7" s="3" t="s">
        <v>10</v>
      </c>
      <c r="C7" s="3" t="str">
        <f>EDT!$J$10</f>
        <v>Joaquin Galarce</v>
      </c>
      <c r="D7" s="31">
        <v>3074.0</v>
      </c>
      <c r="E7" s="32">
        <f>SUM(EDT!G6:G9)</f>
        <v>8</v>
      </c>
      <c r="F7" s="33">
        <f t="shared" si="1"/>
        <v>24592</v>
      </c>
      <c r="H7" s="3" t="s">
        <v>113</v>
      </c>
      <c r="I7" s="3" t="str">
        <f>EDT!$J$9</f>
        <v>Angel Pinto</v>
      </c>
      <c r="J7" s="31">
        <v>8786.0</v>
      </c>
      <c r="K7" s="31">
        <v>1405766.0</v>
      </c>
      <c r="L7" s="34" t="s">
        <v>117</v>
      </c>
    </row>
    <row r="8" ht="14.25" customHeight="1">
      <c r="A8" s="3"/>
      <c r="B8" s="5" t="s">
        <v>118</v>
      </c>
      <c r="C8" s="6"/>
      <c r="D8" s="6"/>
      <c r="E8" s="7"/>
      <c r="F8" s="33">
        <f>SUM(F3:F7)</f>
        <v>701063</v>
      </c>
      <c r="H8" s="3" t="s">
        <v>10</v>
      </c>
      <c r="I8" s="3" t="str">
        <f>EDT!$J$10</f>
        <v>Joaquin Galarce</v>
      </c>
      <c r="J8" s="31">
        <v>3074.0</v>
      </c>
      <c r="K8" s="31">
        <v>491871.0</v>
      </c>
      <c r="L8" s="34" t="s">
        <v>119</v>
      </c>
    </row>
    <row r="9" ht="14.25" customHeight="1"/>
    <row r="10" ht="14.25" customHeight="1"/>
    <row r="11" ht="14.25" customHeight="1">
      <c r="A11" s="11" t="s">
        <v>99</v>
      </c>
      <c r="B11" s="11" t="s">
        <v>100</v>
      </c>
      <c r="C11" s="11" t="s">
        <v>101</v>
      </c>
      <c r="D11" s="10" t="s">
        <v>120</v>
      </c>
      <c r="E11" s="11" t="s">
        <v>103</v>
      </c>
      <c r="F11" s="11" t="s">
        <v>121</v>
      </c>
      <c r="H11" s="36" t="s">
        <v>122</v>
      </c>
      <c r="I11" s="7"/>
    </row>
    <row r="12" ht="14.25" customHeight="1">
      <c r="A12" s="3" t="s">
        <v>106</v>
      </c>
      <c r="B12" s="3" t="s">
        <v>6</v>
      </c>
      <c r="C12" s="3" t="str">
        <f>EDT!$J$6</f>
        <v>Baltazar Roa Soto</v>
      </c>
      <c r="D12" s="31">
        <v>10889.0</v>
      </c>
      <c r="E12" s="32">
        <f>SUM(EDT!C11:C16)</f>
        <v>44</v>
      </c>
      <c r="F12" s="33">
        <f t="shared" ref="F12:F16" si="2">D12*E12</f>
        <v>479116</v>
      </c>
      <c r="H12" s="3" t="s">
        <v>6</v>
      </c>
      <c r="I12" s="31">
        <v>10889.0</v>
      </c>
    </row>
    <row r="13" ht="14.25" customHeight="1">
      <c r="A13" s="3" t="s">
        <v>109</v>
      </c>
      <c r="B13" s="3" t="s">
        <v>7</v>
      </c>
      <c r="C13" s="3" t="str">
        <f>EDT!$J$7</f>
        <v>Joaquin Galarce</v>
      </c>
      <c r="D13" s="3">
        <v>4307.0</v>
      </c>
      <c r="E13" s="32">
        <f>SUM(EDT!D11:D16)</f>
        <v>45</v>
      </c>
      <c r="F13" s="33">
        <f t="shared" si="2"/>
        <v>193815</v>
      </c>
      <c r="H13" s="3" t="s">
        <v>7</v>
      </c>
      <c r="I13" s="3">
        <v>4307.0</v>
      </c>
    </row>
    <row r="14" ht="14.25" customHeight="1">
      <c r="A14" s="3" t="s">
        <v>8</v>
      </c>
      <c r="B14" s="3" t="s">
        <v>111</v>
      </c>
      <c r="C14" s="3" t="str">
        <f>EDT!$J$8</f>
        <v>Angel Pinto</v>
      </c>
      <c r="D14" s="31">
        <v>8245.0</v>
      </c>
      <c r="E14" s="32">
        <f>SUM(EDT!E11:E16)</f>
        <v>7</v>
      </c>
      <c r="F14" s="33">
        <f t="shared" si="2"/>
        <v>57715</v>
      </c>
      <c r="H14" s="3" t="s">
        <v>114</v>
      </c>
      <c r="I14" s="31">
        <v>8245.0</v>
      </c>
    </row>
    <row r="15" ht="14.25" customHeight="1">
      <c r="A15" s="3" t="s">
        <v>9</v>
      </c>
      <c r="B15" s="3" t="s">
        <v>113</v>
      </c>
      <c r="C15" s="3" t="str">
        <f>EDT!$J$9</f>
        <v>Angel Pinto</v>
      </c>
      <c r="D15" s="31">
        <v>8786.0</v>
      </c>
      <c r="E15" s="32">
        <f>SUM(EDT!F11:F16)</f>
        <v>14</v>
      </c>
      <c r="F15" s="33">
        <f t="shared" si="2"/>
        <v>123004</v>
      </c>
      <c r="H15" s="3" t="s">
        <v>113</v>
      </c>
      <c r="I15" s="31">
        <v>8786.0</v>
      </c>
    </row>
    <row r="16" ht="14.25" customHeight="1">
      <c r="A16" s="3" t="s">
        <v>116</v>
      </c>
      <c r="B16" s="3" t="s">
        <v>10</v>
      </c>
      <c r="C16" s="3" t="str">
        <f>EDT!$J$10</f>
        <v>Joaquin Galarce</v>
      </c>
      <c r="D16" s="31">
        <v>3074.0</v>
      </c>
      <c r="E16" s="32">
        <f>SUM(EDT!G11:G16)</f>
        <v>38</v>
      </c>
      <c r="F16" s="33">
        <f t="shared" si="2"/>
        <v>116812</v>
      </c>
      <c r="H16" s="3" t="s">
        <v>10</v>
      </c>
      <c r="I16" s="31">
        <v>3074.0</v>
      </c>
    </row>
    <row r="17" ht="14.25" customHeight="1">
      <c r="A17" s="3"/>
      <c r="B17" s="5" t="s">
        <v>123</v>
      </c>
      <c r="C17" s="6"/>
      <c r="D17" s="6"/>
      <c r="E17" s="7"/>
      <c r="F17" s="33">
        <f>SUM(F12:F16)</f>
        <v>970462</v>
      </c>
      <c r="H17" s="37" t="s">
        <v>124</v>
      </c>
      <c r="I17" s="38">
        <f>SUM(I12:I16)</f>
        <v>35301</v>
      </c>
    </row>
    <row r="18" ht="14.25" customHeight="1"/>
    <row r="19" ht="14.25" customHeight="1"/>
    <row r="20" ht="14.25" customHeight="1">
      <c r="A20" s="11" t="s">
        <v>99</v>
      </c>
      <c r="B20" s="11" t="s">
        <v>100</v>
      </c>
      <c r="C20" s="11" t="s">
        <v>101</v>
      </c>
      <c r="D20" s="10" t="s">
        <v>120</v>
      </c>
      <c r="E20" s="11" t="s">
        <v>103</v>
      </c>
      <c r="F20" s="39" t="s">
        <v>125</v>
      </c>
      <c r="H20" s="40" t="s">
        <v>126</v>
      </c>
      <c r="I20" s="7"/>
    </row>
    <row r="21" ht="14.25" customHeight="1">
      <c r="A21" s="3" t="s">
        <v>106</v>
      </c>
      <c r="B21" s="3" t="s">
        <v>6</v>
      </c>
      <c r="C21" s="3" t="str">
        <f>EDT!$J$6</f>
        <v>Baltazar Roa Soto</v>
      </c>
      <c r="D21" s="31">
        <v>10889.0</v>
      </c>
      <c r="E21" s="32">
        <f>SUM(EDT!C18:C20)</f>
        <v>8</v>
      </c>
      <c r="F21" s="33">
        <f t="shared" ref="F21:F25" si="3">D21*E21</f>
        <v>87112</v>
      </c>
      <c r="H21" s="41" t="s">
        <v>5</v>
      </c>
      <c r="I21" s="42">
        <f>F8</f>
        <v>701063</v>
      </c>
    </row>
    <row r="22" ht="14.25" customHeight="1">
      <c r="A22" s="3" t="s">
        <v>109</v>
      </c>
      <c r="B22" s="3" t="s">
        <v>7</v>
      </c>
      <c r="C22" s="3" t="str">
        <f>EDT!$J$7</f>
        <v>Joaquin Galarce</v>
      </c>
      <c r="D22" s="3">
        <v>4307.0</v>
      </c>
      <c r="E22" s="32">
        <f>SUM(EDT!D18:D20)</f>
        <v>42</v>
      </c>
      <c r="F22" s="33">
        <f t="shared" si="3"/>
        <v>180894</v>
      </c>
      <c r="H22" s="41" t="s">
        <v>127</v>
      </c>
      <c r="I22" s="42">
        <f>F17</f>
        <v>970462</v>
      </c>
    </row>
    <row r="23" ht="14.25" customHeight="1">
      <c r="A23" s="3" t="s">
        <v>8</v>
      </c>
      <c r="B23" s="3" t="s">
        <v>111</v>
      </c>
      <c r="C23" s="3" t="str">
        <f>EDT!$J$8</f>
        <v>Angel Pinto</v>
      </c>
      <c r="D23" s="31">
        <v>8245.0</v>
      </c>
      <c r="E23" s="32">
        <f>SUM(EDT!E18:E20)</f>
        <v>42</v>
      </c>
      <c r="F23" s="33">
        <f t="shared" si="3"/>
        <v>346290</v>
      </c>
      <c r="H23" s="41" t="s">
        <v>128</v>
      </c>
      <c r="I23" s="42">
        <f>F26</f>
        <v>667012</v>
      </c>
    </row>
    <row r="24" ht="14.25" customHeight="1">
      <c r="A24" s="3" t="s">
        <v>9</v>
      </c>
      <c r="B24" s="3" t="s">
        <v>113</v>
      </c>
      <c r="C24" s="3" t="str">
        <f>EDT!$J$9</f>
        <v>Angel Pinto</v>
      </c>
      <c r="D24" s="31">
        <v>8786.0</v>
      </c>
      <c r="E24" s="32">
        <f>SUM(EDT!F18:F20)</f>
        <v>6</v>
      </c>
      <c r="F24" s="33">
        <f t="shared" si="3"/>
        <v>52716</v>
      </c>
      <c r="H24" s="41" t="s">
        <v>129</v>
      </c>
      <c r="I24" s="42">
        <f>F35</f>
        <v>3397512</v>
      </c>
    </row>
    <row r="25" ht="14.25" customHeight="1">
      <c r="A25" s="3" t="s">
        <v>116</v>
      </c>
      <c r="B25" s="3" t="s">
        <v>10</v>
      </c>
      <c r="C25" s="3" t="str">
        <f>EDT!$J$10</f>
        <v>Joaquin Galarce</v>
      </c>
      <c r="D25" s="31">
        <v>3074.0</v>
      </c>
      <c r="E25" s="32">
        <f>SUM(EDT!G18:G20)</f>
        <v>0</v>
      </c>
      <c r="F25" s="33">
        <f t="shared" si="3"/>
        <v>0</v>
      </c>
      <c r="H25" s="41" t="s">
        <v>130</v>
      </c>
      <c r="I25" s="42">
        <f>F44</f>
        <v>2610280</v>
      </c>
    </row>
    <row r="26" ht="14.25" customHeight="1">
      <c r="A26" s="3"/>
      <c r="B26" s="5" t="s">
        <v>131</v>
      </c>
      <c r="C26" s="6"/>
      <c r="D26" s="6"/>
      <c r="E26" s="7"/>
      <c r="F26" s="33">
        <f>SUM(F21:F25)</f>
        <v>667012</v>
      </c>
      <c r="H26" s="41" t="s">
        <v>69</v>
      </c>
      <c r="I26" s="42">
        <f>F52</f>
        <v>3388264</v>
      </c>
    </row>
    <row r="27" ht="24.75" customHeight="1">
      <c r="H27" s="43" t="s">
        <v>132</v>
      </c>
      <c r="I27" s="42">
        <f>F60</f>
        <v>851872</v>
      </c>
    </row>
    <row r="28" ht="14.25" customHeight="1">
      <c r="H28" s="44" t="s">
        <v>133</v>
      </c>
      <c r="I28" s="45">
        <f>SUM(I21:I27)</f>
        <v>12586465</v>
      </c>
    </row>
    <row r="29" ht="14.25" customHeight="1">
      <c r="A29" s="11" t="s">
        <v>99</v>
      </c>
      <c r="B29" s="11" t="s">
        <v>100</v>
      </c>
      <c r="C29" s="11" t="s">
        <v>101</v>
      </c>
      <c r="D29" s="10" t="s">
        <v>120</v>
      </c>
      <c r="E29" s="11" t="s">
        <v>103</v>
      </c>
      <c r="F29" s="11" t="s">
        <v>134</v>
      </c>
      <c r="H29" s="46"/>
      <c r="I29" s="47"/>
    </row>
    <row r="30" ht="14.25" customHeight="1">
      <c r="A30" s="3" t="s">
        <v>106</v>
      </c>
      <c r="B30" s="3" t="s">
        <v>6</v>
      </c>
      <c r="C30" s="3" t="str">
        <f>EDT!$J$6</f>
        <v>Baltazar Roa Soto</v>
      </c>
      <c r="D30" s="31">
        <v>10889.0</v>
      </c>
      <c r="E30" s="32">
        <f>SUM(EDT!C22:C43)</f>
        <v>94</v>
      </c>
      <c r="F30" s="33">
        <f t="shared" ref="F30:F34" si="4">D30*E30</f>
        <v>1023566</v>
      </c>
      <c r="H30" s="48" t="s">
        <v>135</v>
      </c>
      <c r="I30" s="49">
        <v>0.6</v>
      </c>
    </row>
    <row r="31" ht="14.25" customHeight="1">
      <c r="A31" s="3" t="s">
        <v>109</v>
      </c>
      <c r="B31" s="3" t="s">
        <v>7</v>
      </c>
      <c r="C31" s="35" t="str">
        <f>EDT!$J$7</f>
        <v>Joaquin Galarce</v>
      </c>
      <c r="D31" s="3">
        <v>4307.0</v>
      </c>
      <c r="E31" s="32">
        <f>SUM(EDT!D22:D43)</f>
        <v>292</v>
      </c>
      <c r="F31" s="33">
        <f t="shared" si="4"/>
        <v>1257644</v>
      </c>
      <c r="H31" s="41" t="s">
        <v>136</v>
      </c>
      <c r="I31" s="42">
        <f>I27*I30</f>
        <v>511123.2</v>
      </c>
    </row>
    <row r="32" ht="14.25" customHeight="1">
      <c r="A32" s="3" t="s">
        <v>8</v>
      </c>
      <c r="B32" s="3" t="s">
        <v>111</v>
      </c>
      <c r="C32" s="3" t="str">
        <f>EDT!$J$8</f>
        <v>Angel Pinto</v>
      </c>
      <c r="D32" s="31">
        <v>8245.0</v>
      </c>
      <c r="E32" s="32">
        <f>SUM(EDT!E22:E43)</f>
        <v>38</v>
      </c>
      <c r="F32" s="33">
        <f t="shared" si="4"/>
        <v>313310</v>
      </c>
      <c r="H32" s="41" t="s">
        <v>137</v>
      </c>
      <c r="I32" s="42">
        <f>I27+I31</f>
        <v>1362995.2</v>
      </c>
    </row>
    <row r="33" ht="14.25" customHeight="1">
      <c r="A33" s="3" t="s">
        <v>9</v>
      </c>
      <c r="B33" s="3" t="s">
        <v>113</v>
      </c>
      <c r="C33" s="3" t="str">
        <f>EDT!$J$9</f>
        <v>Angel Pinto</v>
      </c>
      <c r="D33" s="31">
        <v>8786.0</v>
      </c>
      <c r="E33" s="32">
        <f>SUM(EDT!F22:F43)</f>
        <v>76</v>
      </c>
      <c r="F33" s="33">
        <f t="shared" si="4"/>
        <v>667736</v>
      </c>
    </row>
    <row r="34" ht="14.25" customHeight="1">
      <c r="A34" s="3" t="s">
        <v>116</v>
      </c>
      <c r="B34" s="3" t="s">
        <v>10</v>
      </c>
      <c r="C34" s="3" t="str">
        <f>EDT!$J$10</f>
        <v>Joaquin Galarce</v>
      </c>
      <c r="D34" s="31">
        <v>3074.0</v>
      </c>
      <c r="E34" s="32">
        <f>SUM(EDT!G22:G43)</f>
        <v>44</v>
      </c>
      <c r="F34" s="33">
        <f t="shared" si="4"/>
        <v>135256</v>
      </c>
    </row>
    <row r="35" ht="14.25" customHeight="1">
      <c r="A35" s="3"/>
      <c r="B35" s="5" t="s">
        <v>138</v>
      </c>
      <c r="C35" s="6"/>
      <c r="D35" s="6"/>
      <c r="E35" s="7"/>
      <c r="F35" s="33">
        <f>SUM(F30:F34)</f>
        <v>3397512</v>
      </c>
    </row>
    <row r="36" ht="14.25" customHeight="1"/>
    <row r="37" ht="14.25" customHeight="1"/>
    <row r="38" ht="14.25" customHeight="1">
      <c r="A38" s="11" t="s">
        <v>99</v>
      </c>
      <c r="B38" s="11" t="s">
        <v>100</v>
      </c>
      <c r="C38" s="11" t="s">
        <v>101</v>
      </c>
      <c r="D38" s="10" t="s">
        <v>120</v>
      </c>
      <c r="E38" s="11" t="s">
        <v>103</v>
      </c>
      <c r="F38" s="11" t="s">
        <v>139</v>
      </c>
    </row>
    <row r="39" ht="14.25" customHeight="1">
      <c r="A39" s="3" t="s">
        <v>106</v>
      </c>
      <c r="B39" s="3" t="s">
        <v>6</v>
      </c>
      <c r="C39" s="3" t="str">
        <f>EDT!$J$6</f>
        <v>Baltazar Roa Soto</v>
      </c>
      <c r="D39" s="31">
        <v>10889.0</v>
      </c>
      <c r="E39" s="32">
        <f>SUM(EDT!C45:C62)</f>
        <v>68</v>
      </c>
      <c r="F39" s="33">
        <f t="shared" ref="F39:F43" si="5">D39*E39</f>
        <v>740452</v>
      </c>
    </row>
    <row r="40" ht="14.25" customHeight="1">
      <c r="A40" s="3" t="s">
        <v>109</v>
      </c>
      <c r="B40" s="3" t="s">
        <v>7</v>
      </c>
      <c r="C40" s="35" t="str">
        <f>EDT!$J$7</f>
        <v>Joaquin Galarce</v>
      </c>
      <c r="D40" s="3">
        <v>4307.0</v>
      </c>
      <c r="E40" s="32">
        <f>SUM(EDT!D45:D62)</f>
        <v>222</v>
      </c>
      <c r="F40" s="33">
        <f t="shared" si="5"/>
        <v>956154</v>
      </c>
    </row>
    <row r="41" ht="14.25" customHeight="1">
      <c r="A41" s="3" t="s">
        <v>8</v>
      </c>
      <c r="B41" s="3" t="s">
        <v>111</v>
      </c>
      <c r="C41" s="3" t="str">
        <f>EDT!$J$8</f>
        <v>Angel Pinto</v>
      </c>
      <c r="D41" s="31">
        <v>8245.0</v>
      </c>
      <c r="E41" s="32">
        <f>SUM(EDT!E45:E62)</f>
        <v>26</v>
      </c>
      <c r="F41" s="33">
        <f t="shared" si="5"/>
        <v>214370</v>
      </c>
    </row>
    <row r="42" ht="14.25" customHeight="1">
      <c r="A42" s="3" t="s">
        <v>9</v>
      </c>
      <c r="B42" s="3" t="s">
        <v>113</v>
      </c>
      <c r="C42" s="3" t="str">
        <f>EDT!$J$9</f>
        <v>Angel Pinto</v>
      </c>
      <c r="D42" s="31">
        <v>8786.0</v>
      </c>
      <c r="E42" s="32">
        <f>SUM(EDT!F45:F62)</f>
        <v>60</v>
      </c>
      <c r="F42" s="33">
        <f t="shared" si="5"/>
        <v>527160</v>
      </c>
    </row>
    <row r="43" ht="14.25" customHeight="1">
      <c r="A43" s="3" t="s">
        <v>116</v>
      </c>
      <c r="B43" s="3" t="s">
        <v>10</v>
      </c>
      <c r="C43" s="3" t="str">
        <f>EDT!$J$10</f>
        <v>Joaquin Galarce</v>
      </c>
      <c r="D43" s="31">
        <v>3074.0</v>
      </c>
      <c r="E43" s="32">
        <f>SUM(EDT!G45:G62)</f>
        <v>56</v>
      </c>
      <c r="F43" s="33">
        <f t="shared" si="5"/>
        <v>172144</v>
      </c>
    </row>
    <row r="44" ht="14.25" customHeight="1">
      <c r="A44" s="3"/>
      <c r="B44" s="5" t="s">
        <v>140</v>
      </c>
      <c r="C44" s="6"/>
      <c r="D44" s="6"/>
      <c r="E44" s="7"/>
      <c r="F44" s="33">
        <f>SUM(F39:F43)</f>
        <v>2610280</v>
      </c>
    </row>
    <row r="45" ht="14.25" customHeight="1"/>
    <row r="46" ht="14.25" customHeight="1">
      <c r="A46" s="11" t="s">
        <v>99</v>
      </c>
      <c r="B46" s="11" t="s">
        <v>100</v>
      </c>
      <c r="C46" s="11" t="s">
        <v>101</v>
      </c>
      <c r="D46" s="10" t="s">
        <v>120</v>
      </c>
      <c r="E46" s="11" t="s">
        <v>103</v>
      </c>
      <c r="F46" s="11" t="s">
        <v>141</v>
      </c>
    </row>
    <row r="47" ht="14.25" customHeight="1">
      <c r="A47" s="3" t="s">
        <v>106</v>
      </c>
      <c r="B47" s="3" t="s">
        <v>6</v>
      </c>
      <c r="C47" s="3" t="str">
        <f>EDT!$J$6</f>
        <v>Baltazar Roa Soto</v>
      </c>
      <c r="D47" s="31">
        <v>10889.0</v>
      </c>
      <c r="E47" s="32">
        <f>SUM(EDT!C64:C85)</f>
        <v>54</v>
      </c>
      <c r="F47" s="33">
        <f t="shared" ref="F47:F51" si="6">D47*E47</f>
        <v>588006</v>
      </c>
    </row>
    <row r="48" ht="14.25" customHeight="1">
      <c r="A48" s="3" t="s">
        <v>109</v>
      </c>
      <c r="B48" s="3" t="s">
        <v>7</v>
      </c>
      <c r="C48" s="35" t="str">
        <f>EDT!$J$7</f>
        <v>Joaquin Galarce</v>
      </c>
      <c r="D48" s="3">
        <v>4307.0</v>
      </c>
      <c r="E48" s="32">
        <f>SUM(EDT!D64:D85)</f>
        <v>116</v>
      </c>
      <c r="F48" s="33">
        <f t="shared" si="6"/>
        <v>499612</v>
      </c>
    </row>
    <row r="49" ht="14.25" customHeight="1">
      <c r="A49" s="3" t="s">
        <v>8</v>
      </c>
      <c r="B49" s="3" t="s">
        <v>111</v>
      </c>
      <c r="C49" s="3" t="str">
        <f>EDT!$J$8</f>
        <v>Angel Pinto</v>
      </c>
      <c r="D49" s="31">
        <v>8245.0</v>
      </c>
      <c r="E49" s="32">
        <f>SUM(EDT!E64:E85)</f>
        <v>38</v>
      </c>
      <c r="F49" s="33">
        <f t="shared" si="6"/>
        <v>313310</v>
      </c>
    </row>
    <row r="50" ht="14.25" customHeight="1">
      <c r="A50" s="3" t="s">
        <v>9</v>
      </c>
      <c r="B50" s="3" t="s">
        <v>113</v>
      </c>
      <c r="C50" s="3" t="str">
        <f>EDT!$J$9</f>
        <v>Angel Pinto</v>
      </c>
      <c r="D50" s="31">
        <v>8786.0</v>
      </c>
      <c r="E50" s="32">
        <f>SUM(EDT!F64:F85)</f>
        <v>208</v>
      </c>
      <c r="F50" s="33">
        <f t="shared" si="6"/>
        <v>1827488</v>
      </c>
    </row>
    <row r="51" ht="14.25" customHeight="1">
      <c r="A51" s="3" t="s">
        <v>116</v>
      </c>
      <c r="B51" s="3" t="s">
        <v>10</v>
      </c>
      <c r="C51" s="3" t="str">
        <f>EDT!$J$10</f>
        <v>Joaquin Galarce</v>
      </c>
      <c r="D51" s="31">
        <v>3074.0</v>
      </c>
      <c r="E51" s="32">
        <f>SUM(EDT!G64:G85)</f>
        <v>52</v>
      </c>
      <c r="F51" s="33">
        <f t="shared" si="6"/>
        <v>159848</v>
      </c>
    </row>
    <row r="52" ht="14.25" customHeight="1">
      <c r="A52" s="3"/>
      <c r="B52" s="5" t="s">
        <v>142</v>
      </c>
      <c r="C52" s="6"/>
      <c r="D52" s="6"/>
      <c r="E52" s="7"/>
      <c r="F52" s="33">
        <f>SUM(F47:F51)</f>
        <v>3388264</v>
      </c>
    </row>
    <row r="53" ht="14.25" customHeight="1"/>
    <row r="54" ht="30.0" customHeight="1">
      <c r="A54" s="11" t="s">
        <v>99</v>
      </c>
      <c r="B54" s="11" t="s">
        <v>100</v>
      </c>
      <c r="C54" s="11" t="s">
        <v>101</v>
      </c>
      <c r="D54" s="10" t="s">
        <v>120</v>
      </c>
      <c r="E54" s="11" t="s">
        <v>103</v>
      </c>
      <c r="F54" s="50" t="s">
        <v>143</v>
      </c>
    </row>
    <row r="55" ht="14.25" customHeight="1">
      <c r="A55" s="3" t="s">
        <v>106</v>
      </c>
      <c r="B55" s="3" t="s">
        <v>6</v>
      </c>
      <c r="C55" s="3" t="str">
        <f>EDT!$J$6</f>
        <v>Baltazar Roa Soto</v>
      </c>
      <c r="D55" s="31">
        <v>10889.0</v>
      </c>
      <c r="E55" s="32">
        <f>SUM(EDT!C87:C92)</f>
        <v>42</v>
      </c>
      <c r="F55" s="33">
        <f t="shared" ref="F55:F59" si="7">D55*E55</f>
        <v>457338</v>
      </c>
    </row>
    <row r="56" ht="14.25" customHeight="1">
      <c r="A56" s="3" t="s">
        <v>109</v>
      </c>
      <c r="B56" s="3" t="s">
        <v>7</v>
      </c>
      <c r="C56" s="3" t="str">
        <f>EDT!$J$7</f>
        <v>Joaquin Galarce</v>
      </c>
      <c r="D56" s="3">
        <v>4307.0</v>
      </c>
      <c r="E56" s="32">
        <f>SUM(EDT!D87:D92)</f>
        <v>26</v>
      </c>
      <c r="F56" s="33">
        <f t="shared" si="7"/>
        <v>111982</v>
      </c>
    </row>
    <row r="57" ht="14.25" customHeight="1">
      <c r="A57" s="3" t="s">
        <v>8</v>
      </c>
      <c r="B57" s="3" t="s">
        <v>111</v>
      </c>
      <c r="C57" s="3" t="str">
        <f>EDT!$J$8</f>
        <v>Angel Pinto</v>
      </c>
      <c r="D57" s="31">
        <v>8245.0</v>
      </c>
      <c r="E57" s="32">
        <f>SUM(EDT!E87:E92)</f>
        <v>12</v>
      </c>
      <c r="F57" s="33">
        <f t="shared" si="7"/>
        <v>98940</v>
      </c>
    </row>
    <row r="58" ht="14.25" customHeight="1">
      <c r="A58" s="3" t="s">
        <v>9</v>
      </c>
      <c r="B58" s="3" t="s">
        <v>113</v>
      </c>
      <c r="C58" s="3" t="str">
        <f>EDT!$J$9</f>
        <v>Angel Pinto</v>
      </c>
      <c r="D58" s="31">
        <v>8786.0</v>
      </c>
      <c r="E58" s="32">
        <f>SUM(EDT!F87:F92)</f>
        <v>16</v>
      </c>
      <c r="F58" s="33">
        <f t="shared" si="7"/>
        <v>140576</v>
      </c>
    </row>
    <row r="59" ht="14.25" customHeight="1">
      <c r="A59" s="3" t="s">
        <v>116</v>
      </c>
      <c r="B59" s="3" t="s">
        <v>10</v>
      </c>
      <c r="C59" s="3" t="str">
        <f>EDT!$J$10</f>
        <v>Joaquin Galarce</v>
      </c>
      <c r="D59" s="31">
        <v>3074.0</v>
      </c>
      <c r="E59" s="32">
        <f>SUM(EDT!G87:G92)</f>
        <v>14</v>
      </c>
      <c r="F59" s="33">
        <f t="shared" si="7"/>
        <v>43036</v>
      </c>
    </row>
    <row r="60" ht="14.25" customHeight="1">
      <c r="A60" s="3"/>
      <c r="B60" s="5" t="s">
        <v>144</v>
      </c>
      <c r="C60" s="6"/>
      <c r="D60" s="6"/>
      <c r="E60" s="7"/>
      <c r="F60" s="33">
        <f>SUM(F55:F59)</f>
        <v>851872</v>
      </c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B44:E44"/>
    <mergeCell ref="B52:E52"/>
    <mergeCell ref="B60:E60"/>
    <mergeCell ref="H2:K2"/>
    <mergeCell ref="B8:E8"/>
    <mergeCell ref="H11:I11"/>
    <mergeCell ref="B17:E17"/>
    <mergeCell ref="H20:I20"/>
    <mergeCell ref="B26:E26"/>
    <mergeCell ref="B35:E35"/>
  </mergeCells>
  <hyperlinks>
    <hyperlink r:id="rId1" ref="L4"/>
    <hyperlink r:id="rId2" ref="L5"/>
    <hyperlink r:id="rId3" ref="L6"/>
    <hyperlink r:id="rId4" ref="L7"/>
    <hyperlink r:id="rId5" ref="L8"/>
  </hyperlinks>
  <printOptions/>
  <pageMargins bottom="0.75" footer="0.0" header="0.0" left="0.7" right="0.7" top="0.75"/>
  <pageSetup paperSize="9" orientation="portrait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B3" s="51" t="s">
        <v>145</v>
      </c>
      <c r="C3" s="52" t="s">
        <v>6</v>
      </c>
      <c r="D3" s="52" t="s">
        <v>7</v>
      </c>
      <c r="E3" s="52" t="s">
        <v>8</v>
      </c>
      <c r="F3" s="52" t="s">
        <v>9</v>
      </c>
      <c r="G3" s="52" t="s">
        <v>10</v>
      </c>
    </row>
    <row r="4">
      <c r="B4" s="51" t="s">
        <v>146</v>
      </c>
      <c r="C4" s="51" t="s">
        <v>147</v>
      </c>
      <c r="D4" s="51" t="s">
        <v>148</v>
      </c>
      <c r="E4" s="51" t="s">
        <v>149</v>
      </c>
      <c r="F4" s="51" t="s">
        <v>150</v>
      </c>
      <c r="G4" s="51" t="s">
        <v>148</v>
      </c>
    </row>
    <row r="5">
      <c r="B5" s="51" t="s">
        <v>151</v>
      </c>
      <c r="C5" s="51" t="s">
        <v>152</v>
      </c>
      <c r="D5" s="51" t="s">
        <v>153</v>
      </c>
      <c r="E5" s="51" t="s">
        <v>154</v>
      </c>
      <c r="F5" s="51" t="s">
        <v>155</v>
      </c>
      <c r="G5" s="51" t="s">
        <v>156</v>
      </c>
    </row>
    <row r="6">
      <c r="B6" s="51" t="s">
        <v>157</v>
      </c>
      <c r="C6" s="43" t="s">
        <v>158</v>
      </c>
      <c r="D6" s="43" t="s">
        <v>159</v>
      </c>
      <c r="E6" s="43" t="s">
        <v>160</v>
      </c>
      <c r="F6" s="43" t="s">
        <v>161</v>
      </c>
      <c r="G6" s="43" t="s">
        <v>162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2018-01-25T19:02:19Z</dcterms:created>
  <dc:creator>Gerardo Galan Cruz</dc:creator>
</cp:coreProperties>
</file>